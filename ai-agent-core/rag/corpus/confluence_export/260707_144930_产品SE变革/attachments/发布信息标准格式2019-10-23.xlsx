
<file path=[Content_Types].xml><?xml version="1.0" encoding="utf-8"?>
<Types xmlns="http://schemas.openxmlformats.org/package/2006/content-types">
  <Override PartName="/xl/activeX/activeX2.bin" ContentType="application/vnd.ms-office.activeX"/>
  <Override PartName="/xl/activeX/activeX4.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Override PartName="/xl/activeX/activeX7.xml" ContentType="application/vnd.ms-office.activeX+xml"/>
  <Override PartName="/xl/activeX/activeX8.xml" ContentType="application/vnd.ms-office.activeX+xml"/>
  <Override PartName="/xl/worksheets/sheet6.xml" ContentType="application/vnd.openxmlformats-officedocument.spreadsheetml.worksheet+xml"/>
  <Default Extension="emf" ContentType="image/x-emf"/>
  <Override PartName="/xl/activeX/activeX5.xml" ContentType="application/vnd.ms-office.activeX+xml"/>
  <Override PartName="/xl/activeX/activeX6.xml" ContentType="application/vnd.ms-office.activeX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drawings/drawing2.xml" ContentType="application/vnd.openxmlformats-officedocument.drawing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ctrlProps/ctrlProp14.xml" ContentType="application/vnd.ms-excel.controlproperties+xml"/>
  <Override PartName="/xl/ctrlProps/ctrlProp13.xml" ContentType="application/vnd.ms-excel.controlproperties+xml"/>
  <Override PartName="/xl/ctrlProps/ctrlProp8.xml" ContentType="application/vnd.ms-excel.controlproperties+xml"/>
  <Override PartName="/xl/ctrlProps/ctrlProp7.xml" ContentType="application/vnd.ms-excel.control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12.xml" ContentType="application/vnd.ms-excel.controlproperties+xml"/>
  <Override PartName="/xl/ctrlProps/ctrlProp11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sharedStrings.xml" ContentType="application/vnd.openxmlformats-officedocument.spreadsheetml.sharedStrings+xml"/>
  <Override PartName="/xl/activeX/activeX7.bin" ContentType="application/vnd.ms-office.activeX"/>
  <Override PartName="/xl/activeX/activeX8.bin" ContentType="application/vnd.ms-office.activeX"/>
  <Override PartName="/xl/ctrlProps/ctrlProp10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activeX/activeX5.bin" ContentType="application/vnd.ms-office.activeX"/>
  <Override PartName="/xl/activeX/activeX6.bin" ContentType="application/vnd.ms-office.activeX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755" yWindow="2295" windowWidth="20400" windowHeight="7860" activeTab="4"/>
  </bookViews>
  <sheets>
    <sheet name="软件返工升级信息" sheetId="1" r:id="rId1"/>
    <sheet name="软件迭代通知" sheetId="3" r:id="rId2"/>
    <sheet name=" 软件暂停使用通知" sheetId="7" r:id="rId3"/>
    <sheet name="ODF订单软件评审结果" sheetId="2" r:id="rId4"/>
    <sheet name="消化升级" sheetId="8" r:id="rId5"/>
    <sheet name="知会人员名单" sheetId="6" r:id="rId6"/>
  </sheets>
  <calcPr calcId="125725"/>
  <fileRecoveryPr repairLoad="1"/>
</workbook>
</file>

<file path=xl/calcChain.xml><?xml version="1.0" encoding="utf-8"?>
<calcChain xmlns="http://schemas.openxmlformats.org/spreadsheetml/2006/main">
  <c r="B6" i="2"/>
  <c r="B14" i="8"/>
  <c r="B10" i="7"/>
  <c r="B12" i="3"/>
  <c r="B15" i="1"/>
  <c r="F3" i="2"/>
</calcChain>
</file>

<file path=xl/sharedStrings.xml><?xml version="1.0" encoding="utf-8"?>
<sst xmlns="http://schemas.openxmlformats.org/spreadsheetml/2006/main" count="139" uniqueCount="108">
  <si>
    <t>返工批次</t>
  </si>
  <si>
    <t>地区</t>
  </si>
  <si>
    <t>当前返工批次的软件版本</t>
  </si>
  <si>
    <t>新发布的软件版本</t>
  </si>
  <si>
    <t>升级包类型</t>
  </si>
  <si>
    <t>软件升级包路径：</t>
  </si>
  <si>
    <t>1、内置视频路径：
2、预制频道：
3、出厂语言：
4、Project ID：</t>
  </si>
  <si>
    <t>ODF订单软件评审结果</t>
  </si>
  <si>
    <t>ODF订单号</t>
  </si>
  <si>
    <t>BOM号</t>
  </si>
  <si>
    <t>H3-40D29HK-LINA0AA</t>
  </si>
  <si>
    <t>软件是否需要试产？</t>
  </si>
  <si>
    <t>PID</t>
  </si>
  <si>
    <t>软件版本</t>
  </si>
  <si>
    <t>备注</t>
  </si>
  <si>
    <t>如果"软件是否需要试产"这一栏的结果是"否"，则请走工厂免试产流程</t>
  </si>
  <si>
    <t>如下栏目信息无需提供给工厂</t>
  </si>
  <si>
    <t>SVN的最新软件是否满足需求</t>
  </si>
  <si>
    <t>满足</t>
  </si>
  <si>
    <t>该国家/地区是否首次出货</t>
  </si>
  <si>
    <t>是</t>
  </si>
  <si>
    <t>该国家/地区是否已通过SQA的差异化测试</t>
  </si>
  <si>
    <t>通过</t>
  </si>
  <si>
    <t>预分配PID对应释放单的软件版本是否满足需求</t>
  </si>
  <si>
    <t>如多个订单出货同一个国家，只需试产一个订单，需和计划沟通，尽量减少试产批次。</t>
  </si>
  <si>
    <t xml:space="preserve"> 软件迭代通知</t>
  </si>
  <si>
    <t>包括USB升级包和预抄文件的访问路径</t>
  </si>
  <si>
    <t>迭代范围</t>
  </si>
  <si>
    <t>执行方式</t>
  </si>
  <si>
    <t>部门</t>
  </si>
  <si>
    <t>人员</t>
  </si>
  <si>
    <t>邮箱</t>
  </si>
  <si>
    <t>电话</t>
  </si>
  <si>
    <t>AOE</t>
  </si>
  <si>
    <t>黄建民</t>
  </si>
  <si>
    <t>huangjianmin@tcl.com</t>
  </si>
  <si>
    <t>王伟</t>
  </si>
  <si>
    <t>wangw@tcl.com</t>
  </si>
  <si>
    <t>曾庆文</t>
  </si>
  <si>
    <t>zengqw@tcl.com</t>
  </si>
  <si>
    <t>李小利</t>
  </si>
  <si>
    <t>lxiaoli@tcl.com</t>
  </si>
  <si>
    <t>PE</t>
  </si>
  <si>
    <t>李朋</t>
  </si>
  <si>
    <t>lipeng07@tcl.com</t>
  </si>
  <si>
    <t>方炳炎</t>
  </si>
  <si>
    <t>FANGBINGYAN@TCL.COM</t>
  </si>
  <si>
    <t>袁竹英</t>
  </si>
  <si>
    <t>yuanzy@tcl.com</t>
  </si>
  <si>
    <t>文子建</t>
  </si>
  <si>
    <t>WENZIJIAN@TCL.COM</t>
  </si>
  <si>
    <t>刘杨</t>
  </si>
  <si>
    <t>LIUYANG@TCL.COM</t>
  </si>
  <si>
    <t>QPL</t>
  </si>
  <si>
    <t>外销刘俊涛</t>
  </si>
  <si>
    <t>liujt@tcl.com</t>
  </si>
  <si>
    <t>内销苗小会</t>
  </si>
  <si>
    <t>miaoxh@tcl.com</t>
  </si>
  <si>
    <t>内销计划</t>
  </si>
  <si>
    <t>王晓春</t>
  </si>
  <si>
    <t>chunxiao.wang@tcl.com</t>
  </si>
  <si>
    <t>易志坚</t>
  </si>
  <si>
    <t>yizhijian@tcl.com</t>
  </si>
  <si>
    <t>周瑞金</t>
  </si>
  <si>
    <t>zhourj@tcl.com</t>
  </si>
  <si>
    <t>外销计划</t>
  </si>
  <si>
    <t>位得怀</t>
  </si>
  <si>
    <t>weidh@tcl.com</t>
  </si>
  <si>
    <t>贾党</t>
  </si>
  <si>
    <t>jiad@tcl.com</t>
  </si>
  <si>
    <t>基本要求</t>
  </si>
  <si>
    <t>基本要求说明</t>
  </si>
  <si>
    <t>附加要求</t>
  </si>
  <si>
    <t>机芯</t>
    <phoneticPr fontId="13" type="noConversion"/>
  </si>
  <si>
    <t>软件返工后的调试要求</t>
    <phoneticPr fontId="13" type="noConversion"/>
  </si>
  <si>
    <t>返工原因</t>
    <phoneticPr fontId="13" type="noConversion"/>
  </si>
  <si>
    <t>日期</t>
    <phoneticPr fontId="13" type="noConversion"/>
  </si>
  <si>
    <t>机型</t>
    <phoneticPr fontId="13" type="noConversion"/>
  </si>
  <si>
    <t>拟制人</t>
    <phoneticPr fontId="13" type="noConversion"/>
  </si>
  <si>
    <t>软件返工升级信息</t>
    <phoneticPr fontId="13" type="noConversion"/>
  </si>
  <si>
    <t>当前量产软件版本</t>
    <phoneticPr fontId="13" type="noConversion"/>
  </si>
  <si>
    <t>待迭代的新软件版本</t>
    <phoneticPr fontId="13" type="noConversion"/>
  </si>
  <si>
    <t>待迭代的新软件路径</t>
    <phoneticPr fontId="13" type="noConversion"/>
  </si>
  <si>
    <t>BOM</t>
    <phoneticPr fontId="13" type="noConversion"/>
  </si>
  <si>
    <t>Project ID</t>
    <phoneticPr fontId="13" type="noConversion"/>
  </si>
  <si>
    <t>/</t>
    <phoneticPr fontId="13" type="noConversion"/>
  </si>
  <si>
    <t>迭代原因</t>
    <phoneticPr fontId="13" type="noConversion"/>
  </si>
  <si>
    <t>区域/国家</t>
    <phoneticPr fontId="13" type="noConversion"/>
  </si>
  <si>
    <t>/</t>
    <phoneticPr fontId="13" type="noConversion"/>
  </si>
  <si>
    <t>国内工厂
（惠州/成都等工厂）</t>
    <phoneticPr fontId="13" type="noConversion"/>
  </si>
  <si>
    <t xml:space="preserve">海外工厂：
（海外必填）
</t>
    <phoneticPr fontId="13" type="noConversion"/>
  </si>
  <si>
    <t>软件停用范围</t>
    <phoneticPr fontId="13" type="noConversion"/>
  </si>
  <si>
    <t xml:space="preserve"> 软件暂停使用通知</t>
    <phoneticPr fontId="13" type="noConversion"/>
  </si>
  <si>
    <t>停用原因</t>
    <phoneticPr fontId="13" type="noConversion"/>
  </si>
  <si>
    <t>停用的软件版本</t>
    <phoneticPr fontId="13" type="noConversion"/>
  </si>
  <si>
    <t>无需填写项，请填写'/'</t>
    <phoneticPr fontId="13" type="noConversion"/>
  </si>
  <si>
    <t>机型</t>
    <phoneticPr fontId="13" type="noConversion"/>
  </si>
  <si>
    <t>国家</t>
    <phoneticPr fontId="13" type="noConversion"/>
  </si>
  <si>
    <t>机芯</t>
    <phoneticPr fontId="13" type="noConversion"/>
  </si>
  <si>
    <t>消化升级信息</t>
    <phoneticPr fontId="13" type="noConversion"/>
  </si>
  <si>
    <t>制表日期</t>
    <phoneticPr fontId="13" type="noConversion"/>
  </si>
  <si>
    <t>制表人</t>
    <phoneticPr fontId="13" type="noConversion"/>
  </si>
  <si>
    <t>审核人</t>
    <phoneticPr fontId="13" type="noConversion"/>
  </si>
  <si>
    <t>原计划生产的批次</t>
    <phoneticPr fontId="13" type="noConversion"/>
  </si>
  <si>
    <t>消化后的生产批次</t>
    <phoneticPr fontId="13" type="noConversion"/>
  </si>
  <si>
    <t>原生产批次的软件版本</t>
    <phoneticPr fontId="13" type="noConversion"/>
  </si>
  <si>
    <t>消化后批次的软件版本</t>
    <phoneticPr fontId="13" type="noConversion"/>
  </si>
  <si>
    <t>审核人</t>
    <phoneticPr fontId="13" type="noConversion"/>
  </si>
</sst>
</file>

<file path=xl/styles.xml><?xml version="1.0" encoding="utf-8"?>
<styleSheet xmlns="http://schemas.openxmlformats.org/spreadsheetml/2006/main">
  <numFmts count="2">
    <numFmt numFmtId="176" formatCode="[$-804]aaa;@"/>
    <numFmt numFmtId="182" formatCode="yyyy&quot;年&quot;m&quot;月&quot;d&quot;日&quot;;@"/>
  </numFmts>
  <fonts count="26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color rgb="FF333333"/>
      <name val="微软雅黑"/>
      <family val="2"/>
      <charset val="134"/>
    </font>
    <font>
      <sz val="9"/>
      <color rgb="FF02C4FC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color rgb="FF000000"/>
      <name val="Microsoft YaHei UI"/>
      <family val="2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u/>
      <sz val="10.5"/>
      <color rgb="FF000000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  <font>
      <b/>
      <sz val="10.5"/>
      <name val="宋体"/>
      <family val="3"/>
      <charset val="134"/>
      <scheme val="minor"/>
    </font>
    <font>
      <b/>
      <sz val="10.5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0.5"/>
      <color rgb="FFFF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6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vertical="center" wrapText="1"/>
    </xf>
    <xf numFmtId="176" fontId="11" fillId="3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vertical="center" wrapText="1"/>
    </xf>
    <xf numFmtId="176" fontId="9" fillId="5" borderId="1" xfId="0" applyNumberFormat="1" applyFont="1" applyFill="1" applyBorder="1" applyAlignment="1">
      <alignment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176" fontId="17" fillId="2" borderId="1" xfId="0" applyNumberFormat="1" applyFont="1" applyFill="1" applyBorder="1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9" fillId="3" borderId="10" xfId="0" applyNumberFormat="1" applyFont="1" applyFill="1" applyBorder="1" applyAlignment="1">
      <alignment horizontal="center" vertical="center" wrapText="1"/>
    </xf>
    <xf numFmtId="176" fontId="19" fillId="3" borderId="10" xfId="0" applyNumberFormat="1" applyFont="1" applyFill="1" applyBorder="1" applyAlignment="1">
      <alignment vertical="center" wrapText="1"/>
    </xf>
    <xf numFmtId="176" fontId="19" fillId="3" borderId="1" xfId="0" applyNumberFormat="1" applyFont="1" applyFill="1" applyBorder="1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176" fontId="20" fillId="0" borderId="3" xfId="0" applyNumberFormat="1" applyFont="1" applyFill="1" applyBorder="1" applyAlignment="1">
      <alignment horizontal="center" vertical="center" wrapText="1"/>
    </xf>
    <xf numFmtId="176" fontId="16" fillId="0" borderId="4" xfId="0" applyNumberFormat="1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horizontal="center" vertical="center"/>
    </xf>
    <xf numFmtId="176" fontId="16" fillId="0" borderId="6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0" borderId="8" xfId="0" applyNumberFormat="1" applyFont="1" applyFill="1" applyBorder="1" applyAlignment="1">
      <alignment horizontal="center" vertical="center"/>
    </xf>
    <xf numFmtId="176" fontId="16" fillId="0" borderId="9" xfId="0" applyNumberFormat="1" applyFont="1" applyFill="1" applyBorder="1" applyAlignment="1">
      <alignment horizontal="center" vertical="center" wrapText="1"/>
    </xf>
    <xf numFmtId="176" fontId="16" fillId="0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14" fontId="14" fillId="0" borderId="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 wrapText="1"/>
    </xf>
    <xf numFmtId="176" fontId="15" fillId="3" borderId="9" xfId="0" applyNumberFormat="1" applyFont="1" applyFill="1" applyBorder="1" applyAlignment="1">
      <alignment horizontal="right" vertical="center" wrapText="1"/>
    </xf>
    <xf numFmtId="176" fontId="15" fillId="3" borderId="2" xfId="0" applyNumberFormat="1" applyFont="1" applyFill="1" applyBorder="1" applyAlignment="1">
      <alignment horizontal="right" vertical="center" wrapText="1"/>
    </xf>
    <xf numFmtId="176" fontId="19" fillId="3" borderId="1" xfId="0" applyNumberFormat="1" applyFont="1" applyFill="1" applyBorder="1" applyAlignment="1">
      <alignment horizontal="center" vertical="center" wrapText="1"/>
    </xf>
    <xf numFmtId="176" fontId="19" fillId="3" borderId="9" xfId="0" applyNumberFormat="1" applyFont="1" applyFill="1" applyBorder="1" applyAlignment="1">
      <alignment horizontal="center" vertical="center" wrapText="1"/>
    </xf>
    <xf numFmtId="176" fontId="19" fillId="3" borderId="10" xfId="0" applyNumberFormat="1" applyFont="1" applyFill="1" applyBorder="1" applyAlignment="1">
      <alignment horizontal="center" vertical="center" wrapText="1"/>
    </xf>
    <xf numFmtId="176" fontId="19" fillId="3" borderId="2" xfId="0" applyNumberFormat="1" applyFont="1" applyFill="1" applyBorder="1" applyAlignment="1">
      <alignment horizontal="center" vertical="center" wrapText="1"/>
    </xf>
    <xf numFmtId="176" fontId="18" fillId="2" borderId="11" xfId="0" applyNumberFormat="1" applyFont="1" applyFill="1" applyBorder="1" applyAlignment="1">
      <alignment horizontal="center" vertical="center" wrapText="1"/>
    </xf>
    <xf numFmtId="176" fontId="18" fillId="2" borderId="12" xfId="0" applyNumberFormat="1" applyFont="1" applyFill="1" applyBorder="1" applyAlignment="1">
      <alignment horizontal="center" vertical="center" wrapText="1"/>
    </xf>
    <xf numFmtId="176" fontId="18" fillId="2" borderId="13" xfId="0" applyNumberFormat="1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21" fillId="0" borderId="5" xfId="0" applyNumberFormat="1" applyFont="1" applyFill="1" applyBorder="1" applyAlignment="1">
      <alignment horizontal="center" vertical="center"/>
    </xf>
    <xf numFmtId="176" fontId="21" fillId="0" borderId="6" xfId="0" applyNumberFormat="1" applyFont="1" applyFill="1" applyBorder="1" applyAlignment="1">
      <alignment horizontal="center" vertical="center"/>
    </xf>
    <xf numFmtId="176" fontId="21" fillId="0" borderId="7" xfId="0" applyNumberFormat="1" applyFont="1" applyFill="1" applyBorder="1" applyAlignment="1">
      <alignment horizontal="center" vertical="center"/>
    </xf>
    <xf numFmtId="176" fontId="21" fillId="0" borderId="8" xfId="0" applyNumberFormat="1" applyFont="1" applyFill="1" applyBorder="1" applyAlignment="1">
      <alignment horizontal="center" vertical="center"/>
    </xf>
    <xf numFmtId="176" fontId="14" fillId="0" borderId="9" xfId="0" applyNumberFormat="1" applyFont="1" applyFill="1" applyBorder="1" applyAlignment="1">
      <alignment horizontal="center" vertical="center" wrapText="1"/>
    </xf>
    <xf numFmtId="176" fontId="14" fillId="0" borderId="10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Fill="1" applyBorder="1" applyAlignment="1">
      <alignment horizontal="center" vertical="center" wrapText="1"/>
    </xf>
    <xf numFmtId="176" fontId="19" fillId="0" borderId="9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176" fontId="19" fillId="0" borderId="2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 wrapText="1"/>
    </xf>
    <xf numFmtId="176" fontId="11" fillId="3" borderId="9" xfId="0" applyNumberFormat="1" applyFont="1" applyFill="1" applyBorder="1" applyAlignment="1">
      <alignment horizontal="center" vertical="center" wrapText="1"/>
    </xf>
    <xf numFmtId="176" fontId="11" fillId="3" borderId="10" xfId="0" applyNumberFormat="1" applyFont="1" applyFill="1" applyBorder="1" applyAlignment="1">
      <alignment horizontal="center" vertical="center" wrapText="1"/>
    </xf>
    <xf numFmtId="176" fontId="11" fillId="3" borderId="2" xfId="0" applyNumberFormat="1" applyFont="1" applyFill="1" applyBorder="1" applyAlignment="1">
      <alignment horizontal="center" vertical="center" wrapText="1"/>
    </xf>
    <xf numFmtId="176" fontId="11" fillId="5" borderId="9" xfId="0" applyNumberFormat="1" applyFont="1" applyFill="1" applyBorder="1" applyAlignment="1">
      <alignment horizontal="left" vertical="center" wrapText="1"/>
    </xf>
    <xf numFmtId="176" fontId="11" fillId="5" borderId="10" xfId="0" applyNumberFormat="1" applyFont="1" applyFill="1" applyBorder="1" applyAlignment="1">
      <alignment horizontal="left" vertical="center" wrapText="1"/>
    </xf>
    <xf numFmtId="176" fontId="11" fillId="5" borderId="2" xfId="0" applyNumberFormat="1" applyFont="1" applyFill="1" applyBorder="1" applyAlignment="1">
      <alignment horizontal="left" vertical="center" wrapText="1"/>
    </xf>
    <xf numFmtId="176" fontId="8" fillId="4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7" fillId="5" borderId="10" xfId="0" applyNumberFormat="1" applyFont="1" applyFill="1" applyBorder="1" applyAlignment="1">
      <alignment horizontal="left" vertical="center" wrapText="1"/>
    </xf>
    <xf numFmtId="176" fontId="7" fillId="5" borderId="2" xfId="0" applyNumberFormat="1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19" fillId="3" borderId="2" xfId="0" applyNumberFormat="1" applyFont="1" applyFill="1" applyBorder="1" applyAlignment="1">
      <alignment vertical="center" wrapText="1"/>
    </xf>
    <xf numFmtId="176" fontId="22" fillId="2" borderId="11" xfId="0" applyNumberFormat="1" applyFont="1" applyFill="1" applyBorder="1" applyAlignment="1">
      <alignment horizontal="center" vertical="center" wrapText="1"/>
    </xf>
    <xf numFmtId="176" fontId="22" fillId="2" borderId="13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25" fillId="0" borderId="1" xfId="0" applyNumberFormat="1" applyFont="1" applyFill="1" applyBorder="1" applyAlignment="1">
      <alignment horizontal="center" vertical="center"/>
    </xf>
    <xf numFmtId="182" fontId="7" fillId="3" borderId="10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Radio" checked="Checked" firstButton="1" noThreeD="1" val="0"/>
</file>

<file path=xl/ctrlProps/ctrlProp13.xml><?xml version="1.0" encoding="utf-8"?>
<formControlPr xmlns="http://schemas.microsoft.com/office/spreadsheetml/2009/9/main" objectType="Radio" noThreeD="1" val="0"/>
</file>

<file path=xl/ctrlProps/ctrlProp14.xml><?xml version="1.0" encoding="utf-8"?>
<formControlPr xmlns="http://schemas.microsoft.com/office/spreadsheetml/2009/9/main" objectType="Radio" noThreeD="1" val="0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1228725</xdr:colOff>
      <xdr:row>8</xdr:row>
      <xdr:rowOff>323850</xdr:rowOff>
    </xdr:from>
    <xdr:ext cx="1172565" cy="264560"/>
    <xdr:sp macro="" textlink="">
      <xdr:nvSpPr>
        <xdr:cNvPr id="3" name="TextBox 2"/>
        <xdr:cNvSpPr txBox="1"/>
      </xdr:nvSpPr>
      <xdr:spPr>
        <a:xfrm>
          <a:off x="4019550" y="2695575"/>
          <a:ext cx="11725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zh-CN" altLang="en-US" sz="1100" u="sng"/>
            <a:t>                              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1228725</xdr:colOff>
      <xdr:row>8</xdr:row>
      <xdr:rowOff>323850</xdr:rowOff>
    </xdr:from>
    <xdr:ext cx="1172565" cy="264560"/>
    <xdr:sp macro="" textlink="">
      <xdr:nvSpPr>
        <xdr:cNvPr id="2" name="TextBox 1"/>
        <xdr:cNvSpPr txBox="1"/>
      </xdr:nvSpPr>
      <xdr:spPr>
        <a:xfrm>
          <a:off x="4019550" y="1628775"/>
          <a:ext cx="11725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zh-CN" altLang="en-US" sz="1100" u="sng"/>
            <a:t>                           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4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3.xml"/><Relationship Id="rId11" Type="http://schemas.openxmlformats.org/officeDocument/2006/relationships/ctrlProp" Target="../ctrlProps/ctrlProp9.xml"/><Relationship Id="rId5" Type="http://schemas.openxmlformats.org/officeDocument/2006/relationships/control" Target="../activeX/activeX2.xml"/><Relationship Id="rId15" Type="http://schemas.openxmlformats.org/officeDocument/2006/relationships/ctrlProp" Target="../ctrlProps/ctrlProp5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7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1" Type="http://schemas.openxmlformats.org/officeDocument/2006/relationships/vmlDrawing" Target="../drawings/vmlDrawing2.v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ontrol" Target="../activeX/activeX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5" Type="http://schemas.openxmlformats.org/officeDocument/2006/relationships/control" Target="../activeX/activeX6.xml"/><Relationship Id="rId4" Type="http://schemas.openxmlformats.org/officeDocument/2006/relationships/control" Target="../activeX/activeX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WENZIJIAN@TCL.COM" TargetMode="External"/><Relationship Id="rId13" Type="http://schemas.openxmlformats.org/officeDocument/2006/relationships/hyperlink" Target="mailto:yizhijian@tcl.com" TargetMode="External"/><Relationship Id="rId3" Type="http://schemas.openxmlformats.org/officeDocument/2006/relationships/hyperlink" Target="mailto:zengqw@tcl.com" TargetMode="External"/><Relationship Id="rId7" Type="http://schemas.openxmlformats.org/officeDocument/2006/relationships/hyperlink" Target="mailto:yuanzy@tcl.com" TargetMode="External"/><Relationship Id="rId12" Type="http://schemas.openxmlformats.org/officeDocument/2006/relationships/hyperlink" Target="mailto:chunxiao.wang@tcl.com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mailto:wangw@tcl.com" TargetMode="External"/><Relationship Id="rId16" Type="http://schemas.openxmlformats.org/officeDocument/2006/relationships/hyperlink" Target="mailto:jiad@tcl.com" TargetMode="External"/><Relationship Id="rId1" Type="http://schemas.openxmlformats.org/officeDocument/2006/relationships/hyperlink" Target="mailto:huangjianmin@tcl.com" TargetMode="External"/><Relationship Id="rId6" Type="http://schemas.openxmlformats.org/officeDocument/2006/relationships/hyperlink" Target="mailto:lipeng07@tcl.com" TargetMode="External"/><Relationship Id="rId11" Type="http://schemas.openxmlformats.org/officeDocument/2006/relationships/hyperlink" Target="mailto:miaoxh@tcl.com" TargetMode="External"/><Relationship Id="rId5" Type="http://schemas.openxmlformats.org/officeDocument/2006/relationships/hyperlink" Target="mailto:FANGBINGYAN@TCL.COM" TargetMode="External"/><Relationship Id="rId15" Type="http://schemas.openxmlformats.org/officeDocument/2006/relationships/hyperlink" Target="mailto:weidh@tcl.com" TargetMode="External"/><Relationship Id="rId10" Type="http://schemas.openxmlformats.org/officeDocument/2006/relationships/hyperlink" Target="mailto:liujt@tcl.com" TargetMode="External"/><Relationship Id="rId4" Type="http://schemas.openxmlformats.org/officeDocument/2006/relationships/hyperlink" Target="mailto:lxiaoli@tcl.com" TargetMode="External"/><Relationship Id="rId9" Type="http://schemas.openxmlformats.org/officeDocument/2006/relationships/hyperlink" Target="mailto:LIUYANG@TCL.COM" TargetMode="External"/><Relationship Id="rId14" Type="http://schemas.openxmlformats.org/officeDocument/2006/relationships/hyperlink" Target="mailto:zhourj@tc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17"/>
  <sheetViews>
    <sheetView topLeftCell="A16" workbookViewId="0">
      <selection activeCell="B25" sqref="B25"/>
    </sheetView>
  </sheetViews>
  <sheetFormatPr defaultColWidth="8.75" defaultRowHeight="12.75"/>
  <cols>
    <col min="1" max="1" width="22.5" style="15" customWidth="1"/>
    <col min="2" max="2" width="14.125" style="15" customWidth="1"/>
    <col min="3" max="3" width="38.125" style="15" customWidth="1"/>
    <col min="4" max="16384" width="8.75" style="15"/>
  </cols>
  <sheetData>
    <row r="1" spans="1:3" ht="13.5" customHeight="1">
      <c r="A1" s="28" t="s">
        <v>79</v>
      </c>
      <c r="B1" s="29"/>
      <c r="C1" s="30"/>
    </row>
    <row r="2" spans="1:3">
      <c r="A2" s="31"/>
      <c r="B2" s="32"/>
      <c r="C2" s="33"/>
    </row>
    <row r="3" spans="1:3">
      <c r="A3" s="19" t="s">
        <v>0</v>
      </c>
      <c r="B3" s="34"/>
      <c r="C3" s="35"/>
    </row>
    <row r="4" spans="1:3">
      <c r="A4" s="19" t="s">
        <v>73</v>
      </c>
      <c r="B4" s="34"/>
      <c r="C4" s="36"/>
    </row>
    <row r="5" spans="1:3">
      <c r="A5" s="19" t="s">
        <v>77</v>
      </c>
      <c r="B5" s="34"/>
      <c r="C5" s="36"/>
    </row>
    <row r="6" spans="1:3">
      <c r="A6" s="19" t="s">
        <v>1</v>
      </c>
      <c r="B6" s="34"/>
      <c r="C6" s="36"/>
    </row>
    <row r="7" spans="1:3">
      <c r="A7" s="19" t="s">
        <v>2</v>
      </c>
      <c r="B7" s="34"/>
      <c r="C7" s="35"/>
    </row>
    <row r="8" spans="1:3">
      <c r="A8" s="20" t="s">
        <v>3</v>
      </c>
      <c r="B8" s="40"/>
      <c r="C8" s="40"/>
    </row>
    <row r="9" spans="1:3" ht="52.5" customHeight="1">
      <c r="A9" s="21" t="s">
        <v>4</v>
      </c>
      <c r="B9" s="41"/>
      <c r="C9" s="42"/>
    </row>
    <row r="10" spans="1:3">
      <c r="A10" s="21" t="s">
        <v>5</v>
      </c>
      <c r="B10" s="43"/>
      <c r="C10" s="43"/>
    </row>
    <row r="11" spans="1:3" ht="261.95" customHeight="1">
      <c r="A11" s="27" t="s">
        <v>74</v>
      </c>
      <c r="B11" s="16" t="s">
        <v>70</v>
      </c>
      <c r="C11" s="17"/>
    </row>
    <row r="12" spans="1:3" ht="62.1" customHeight="1">
      <c r="A12" s="27"/>
      <c r="B12" s="16" t="s">
        <v>71</v>
      </c>
      <c r="C12" s="18" t="s">
        <v>6</v>
      </c>
    </row>
    <row r="13" spans="1:3" ht="30.75" customHeight="1">
      <c r="A13" s="27"/>
      <c r="B13" s="16" t="s">
        <v>72</v>
      </c>
      <c r="C13" s="16"/>
    </row>
    <row r="14" spans="1:3" ht="36" customHeight="1">
      <c r="A14" s="21" t="s">
        <v>75</v>
      </c>
      <c r="B14" s="39"/>
      <c r="C14" s="38"/>
    </row>
    <row r="15" spans="1:3">
      <c r="A15" s="21" t="s">
        <v>76</v>
      </c>
      <c r="B15" s="37">
        <f ca="1">TODAY()</f>
        <v>43762</v>
      </c>
      <c r="C15" s="38"/>
    </row>
    <row r="16" spans="1:3">
      <c r="A16" s="21" t="s">
        <v>78</v>
      </c>
      <c r="B16" s="39"/>
      <c r="C16" s="38"/>
    </row>
    <row r="17" spans="1:3">
      <c r="A17" s="22" t="s">
        <v>107</v>
      </c>
      <c r="B17" s="39"/>
      <c r="C17" s="38"/>
    </row>
  </sheetData>
  <mergeCells count="14">
    <mergeCell ref="B15:C15"/>
    <mergeCell ref="B16:C16"/>
    <mergeCell ref="B17:C17"/>
    <mergeCell ref="B8:C8"/>
    <mergeCell ref="B9:C9"/>
    <mergeCell ref="B10:C10"/>
    <mergeCell ref="B14:C14"/>
    <mergeCell ref="A11:A13"/>
    <mergeCell ref="A1:C2"/>
    <mergeCell ref="B3:C3"/>
    <mergeCell ref="B4:C4"/>
    <mergeCell ref="B5:C5"/>
    <mergeCell ref="B6:C6"/>
    <mergeCell ref="B7:C7"/>
  </mergeCells>
  <phoneticPr fontId="13" type="noConversion"/>
  <pageMargins left="0.75" right="0.75" top="1" bottom="1" header="0.5" footer="0.5"/>
  <pageSetup paperSize="9" orientation="portrait" horizontalDpi="1200" verticalDpi="1200" r:id="rId1"/>
  <drawing r:id="rId2"/>
  <legacyDrawing r:id="rId3"/>
  <controls>
    <control shapeId="1054" r:id="rId4" name="OptionButton4"/>
    <control shapeId="1053" r:id="rId5" name="OptionButton3"/>
    <control shapeId="1052" r:id="rId6" name="OptionButton2"/>
    <control shapeId="1051" r:id="rId7" name="OptionButton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D14"/>
  <sheetViews>
    <sheetView topLeftCell="A10" workbookViewId="0">
      <selection activeCell="E24" sqref="E24"/>
    </sheetView>
  </sheetViews>
  <sheetFormatPr defaultColWidth="8.75" defaultRowHeight="12.75"/>
  <cols>
    <col min="1" max="1" width="15.5" style="15" customWidth="1"/>
    <col min="2" max="2" width="11.25" style="15" customWidth="1"/>
    <col min="3" max="3" width="34.5" style="15" customWidth="1"/>
    <col min="4" max="4" width="21.5" style="15" customWidth="1"/>
    <col min="5" max="16384" width="8.75" style="15"/>
  </cols>
  <sheetData>
    <row r="1" spans="1:4">
      <c r="A1" s="51" t="s">
        <v>25</v>
      </c>
      <c r="B1" s="52"/>
      <c r="C1" s="52"/>
      <c r="D1" s="53"/>
    </row>
    <row r="2" spans="1:4">
      <c r="A2" s="54"/>
      <c r="B2" s="55"/>
      <c r="C2" s="55"/>
      <c r="D2" s="56"/>
    </row>
    <row r="3" spans="1:4" ht="25.5">
      <c r="A3" s="23" t="s">
        <v>81</v>
      </c>
      <c r="B3" s="57"/>
      <c r="C3" s="58"/>
      <c r="D3" s="59"/>
    </row>
    <row r="4" spans="1:4" ht="25.5">
      <c r="A4" s="23" t="s">
        <v>80</v>
      </c>
      <c r="B4" s="60"/>
      <c r="C4" s="61"/>
      <c r="D4" s="62"/>
    </row>
    <row r="5" spans="1:4" ht="25.5">
      <c r="A5" s="21" t="s">
        <v>82</v>
      </c>
      <c r="B5" s="44" t="s">
        <v>26</v>
      </c>
      <c r="C5" s="45"/>
      <c r="D5" s="46"/>
    </row>
    <row r="6" spans="1:4">
      <c r="A6" s="47" t="s">
        <v>27</v>
      </c>
      <c r="B6" s="26" t="s">
        <v>84</v>
      </c>
      <c r="C6" s="24" t="s">
        <v>88</v>
      </c>
      <c r="D6" s="43" t="s">
        <v>95</v>
      </c>
    </row>
    <row r="7" spans="1:4">
      <c r="A7" s="48"/>
      <c r="B7" s="26" t="s">
        <v>87</v>
      </c>
      <c r="C7" s="24" t="s">
        <v>85</v>
      </c>
      <c r="D7" s="43"/>
    </row>
    <row r="8" spans="1:4">
      <c r="A8" s="49"/>
      <c r="B8" s="26" t="s">
        <v>83</v>
      </c>
      <c r="C8" s="24" t="s">
        <v>85</v>
      </c>
      <c r="D8" s="43"/>
    </row>
    <row r="9" spans="1:4" ht="96.95" customHeight="1">
      <c r="A9" s="78" t="s">
        <v>28</v>
      </c>
      <c r="B9" s="26" t="s">
        <v>89</v>
      </c>
      <c r="C9" s="25"/>
      <c r="D9" s="77"/>
    </row>
    <row r="10" spans="1:4" ht="96.95" customHeight="1">
      <c r="A10" s="79"/>
      <c r="B10" s="26" t="s">
        <v>90</v>
      </c>
      <c r="C10" s="44"/>
      <c r="D10" s="46"/>
    </row>
    <row r="11" spans="1:4" ht="26.25" customHeight="1">
      <c r="A11" s="23" t="s">
        <v>86</v>
      </c>
      <c r="B11" s="39"/>
      <c r="C11" s="50"/>
      <c r="D11" s="38"/>
    </row>
    <row r="12" spans="1:4">
      <c r="A12" s="22" t="s">
        <v>76</v>
      </c>
      <c r="B12" s="80">
        <f ca="1">TODAY()</f>
        <v>43762</v>
      </c>
      <c r="C12" s="80"/>
      <c r="D12" s="80"/>
    </row>
    <row r="13" spans="1:4">
      <c r="A13" s="22" t="s">
        <v>78</v>
      </c>
      <c r="B13" s="81"/>
      <c r="C13" s="81"/>
      <c r="D13" s="81"/>
    </row>
    <row r="14" spans="1:4">
      <c r="A14" s="22" t="s">
        <v>107</v>
      </c>
      <c r="B14" s="81"/>
      <c r="C14" s="81"/>
      <c r="D14" s="81"/>
    </row>
  </sheetData>
  <mergeCells count="12">
    <mergeCell ref="B12:D12"/>
    <mergeCell ref="B13:D13"/>
    <mergeCell ref="B14:D14"/>
    <mergeCell ref="A6:A8"/>
    <mergeCell ref="D6:D8"/>
    <mergeCell ref="B11:D11"/>
    <mergeCell ref="A1:D2"/>
    <mergeCell ref="B3:D3"/>
    <mergeCell ref="B4:D4"/>
    <mergeCell ref="B5:D5"/>
    <mergeCell ref="A9:A10"/>
    <mergeCell ref="C10:D10"/>
  </mergeCells>
  <phoneticPr fontId="13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D12"/>
  <sheetViews>
    <sheetView workbookViewId="0">
      <selection activeCell="B12" sqref="B12:D12"/>
    </sheetView>
  </sheetViews>
  <sheetFormatPr defaultColWidth="8.75" defaultRowHeight="12.75"/>
  <cols>
    <col min="1" max="1" width="15.5" style="15" customWidth="1"/>
    <col min="2" max="2" width="11.25" style="15" customWidth="1"/>
    <col min="3" max="3" width="34.5" style="15" customWidth="1"/>
    <col min="4" max="4" width="21.5" style="15" customWidth="1"/>
    <col min="5" max="16384" width="8.75" style="15"/>
  </cols>
  <sheetData>
    <row r="1" spans="1:4">
      <c r="A1" s="51" t="s">
        <v>92</v>
      </c>
      <c r="B1" s="52"/>
      <c r="C1" s="52"/>
      <c r="D1" s="53"/>
    </row>
    <row r="2" spans="1:4">
      <c r="A2" s="54"/>
      <c r="B2" s="55"/>
      <c r="C2" s="55"/>
      <c r="D2" s="56"/>
    </row>
    <row r="3" spans="1:4">
      <c r="A3" s="23" t="s">
        <v>94</v>
      </c>
      <c r="B3" s="60"/>
      <c r="C3" s="61"/>
      <c r="D3" s="62"/>
    </row>
    <row r="4" spans="1:4">
      <c r="A4" s="47" t="s">
        <v>91</v>
      </c>
      <c r="B4" s="26" t="s">
        <v>84</v>
      </c>
      <c r="C4" s="24" t="s">
        <v>88</v>
      </c>
      <c r="D4" s="43" t="s">
        <v>95</v>
      </c>
    </row>
    <row r="5" spans="1:4">
      <c r="A5" s="48"/>
      <c r="B5" s="26" t="s">
        <v>87</v>
      </c>
      <c r="C5" s="24" t="s">
        <v>85</v>
      </c>
      <c r="D5" s="43"/>
    </row>
    <row r="6" spans="1:4">
      <c r="A6" s="49"/>
      <c r="B6" s="26" t="s">
        <v>83</v>
      </c>
      <c r="C6" s="24" t="s">
        <v>85</v>
      </c>
      <c r="D6" s="43"/>
    </row>
    <row r="7" spans="1:4" ht="96.95" customHeight="1">
      <c r="A7" s="78" t="s">
        <v>28</v>
      </c>
      <c r="B7" s="26" t="s">
        <v>89</v>
      </c>
      <c r="C7" s="25"/>
      <c r="D7" s="77"/>
    </row>
    <row r="8" spans="1:4" ht="96.95" customHeight="1">
      <c r="A8" s="79"/>
      <c r="B8" s="26" t="s">
        <v>90</v>
      </c>
      <c r="C8" s="44"/>
      <c r="D8" s="46"/>
    </row>
    <row r="9" spans="1:4" ht="26.25" customHeight="1">
      <c r="A9" s="23" t="s">
        <v>93</v>
      </c>
      <c r="B9" s="39"/>
      <c r="C9" s="50"/>
      <c r="D9" s="38"/>
    </row>
    <row r="10" spans="1:4">
      <c r="A10" s="22" t="s">
        <v>76</v>
      </c>
      <c r="B10" s="80">
        <f ca="1">TODAY()</f>
        <v>43762</v>
      </c>
      <c r="C10" s="80"/>
      <c r="D10" s="80"/>
    </row>
    <row r="11" spans="1:4">
      <c r="A11" s="22" t="s">
        <v>78</v>
      </c>
      <c r="B11" s="81"/>
      <c r="C11" s="81"/>
      <c r="D11" s="81"/>
    </row>
    <row r="12" spans="1:4">
      <c r="A12" s="22" t="s">
        <v>107</v>
      </c>
      <c r="B12" s="81"/>
      <c r="C12" s="81"/>
      <c r="D12" s="81"/>
    </row>
  </sheetData>
  <mergeCells count="10">
    <mergeCell ref="A7:A8"/>
    <mergeCell ref="C8:D8"/>
    <mergeCell ref="B9:D9"/>
    <mergeCell ref="B10:D10"/>
    <mergeCell ref="B11:D11"/>
    <mergeCell ref="B12:D12"/>
    <mergeCell ref="A1:D2"/>
    <mergeCell ref="B3:D3"/>
    <mergeCell ref="A4:A6"/>
    <mergeCell ref="D4:D6"/>
  </mergeCells>
  <phoneticPr fontId="1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F11"/>
  <sheetViews>
    <sheetView workbookViewId="0">
      <selection activeCell="A5" sqref="A5:XFD6"/>
    </sheetView>
  </sheetViews>
  <sheetFormatPr defaultColWidth="8.75" defaultRowHeight="13.5"/>
  <cols>
    <col min="1" max="1" width="27" customWidth="1"/>
    <col min="2" max="2" width="27.75" customWidth="1"/>
    <col min="3" max="3" width="31.25" customWidth="1"/>
    <col min="4" max="4" width="32.75" customWidth="1"/>
    <col min="5" max="5" width="26.875" customWidth="1"/>
    <col min="6" max="6" width="17.875" customWidth="1"/>
  </cols>
  <sheetData>
    <row r="1" spans="1:6">
      <c r="A1" s="72" t="s">
        <v>7</v>
      </c>
      <c r="B1" s="72"/>
      <c r="C1" s="72"/>
      <c r="D1" s="72"/>
      <c r="E1" s="72"/>
      <c r="F1" s="72"/>
    </row>
    <row r="2" spans="1:6">
      <c r="A2" s="63"/>
      <c r="B2" s="63"/>
      <c r="C2" s="63"/>
      <c r="D2" s="63"/>
      <c r="E2" s="63"/>
      <c r="F2" s="63"/>
    </row>
    <row r="3" spans="1:6" ht="22.5">
      <c r="A3" s="5" t="s">
        <v>8</v>
      </c>
      <c r="B3" s="7"/>
      <c r="C3" s="5" t="s">
        <v>9</v>
      </c>
      <c r="D3" s="7" t="s">
        <v>10</v>
      </c>
      <c r="E3" s="71" t="s">
        <v>11</v>
      </c>
      <c r="F3" s="71" t="str">
        <f>IF(B9="不满足","是",IF(B9&lt;&gt;"满足","Error",IF(D9="否",IF(D10="不满足","是",IF(D10&lt;&gt;"满足","Error","否")),IF(D9&lt;&gt;"是","Error",IF(B10="不通过","是",IF(B10&lt;&gt;"通过","Error",IF(D10="不满足","是",IF(D10&lt;&gt;"满足","Error","否"))))))))</f>
        <v>否</v>
      </c>
    </row>
    <row r="4" spans="1:6" ht="22.5">
      <c r="A4" s="6" t="s">
        <v>12</v>
      </c>
      <c r="B4" s="7"/>
      <c r="C4" s="6" t="s">
        <v>13</v>
      </c>
      <c r="D4" s="7"/>
      <c r="E4" s="71"/>
      <c r="F4" s="71"/>
    </row>
    <row r="5" spans="1:6" ht="22.5">
      <c r="A5" s="14" t="s">
        <v>97</v>
      </c>
      <c r="B5" s="13"/>
      <c r="C5" s="14" t="s">
        <v>98</v>
      </c>
      <c r="D5" s="13"/>
      <c r="E5" s="14" t="s">
        <v>96</v>
      </c>
      <c r="F5" s="82"/>
    </row>
    <row r="6" spans="1:6" ht="22.5">
      <c r="A6" s="14" t="s">
        <v>100</v>
      </c>
      <c r="B6" s="83">
        <f ca="1">TODAY()</f>
        <v>43762</v>
      </c>
      <c r="C6" s="14" t="s">
        <v>101</v>
      </c>
      <c r="D6" s="13"/>
      <c r="E6" s="14" t="s">
        <v>102</v>
      </c>
      <c r="F6" s="82"/>
    </row>
    <row r="7" spans="1:6" ht="22.5">
      <c r="A7" s="8" t="s">
        <v>14</v>
      </c>
      <c r="B7" s="73" t="s">
        <v>15</v>
      </c>
      <c r="C7" s="73"/>
      <c r="D7" s="73"/>
      <c r="E7" s="73"/>
      <c r="F7" s="74"/>
    </row>
    <row r="8" spans="1:6" ht="15">
      <c r="A8" s="75" t="s">
        <v>16</v>
      </c>
      <c r="B8" s="75"/>
      <c r="C8" s="75"/>
      <c r="D8" s="75"/>
      <c r="E8" s="75"/>
      <c r="F8" s="75"/>
    </row>
    <row r="9" spans="1:6" ht="16.5">
      <c r="A9" s="9" t="s">
        <v>17</v>
      </c>
      <c r="B9" s="10" t="s">
        <v>18</v>
      </c>
      <c r="C9" s="9" t="s">
        <v>19</v>
      </c>
      <c r="D9" s="64" t="s">
        <v>20</v>
      </c>
      <c r="E9" s="64"/>
      <c r="F9" s="64"/>
    </row>
    <row r="10" spans="1:6" ht="30">
      <c r="A10" s="11" t="s">
        <v>21</v>
      </c>
      <c r="B10" s="10" t="s">
        <v>22</v>
      </c>
      <c r="C10" s="11" t="s">
        <v>23</v>
      </c>
      <c r="D10" s="65" t="s">
        <v>18</v>
      </c>
      <c r="E10" s="66"/>
      <c r="F10" s="67"/>
    </row>
    <row r="11" spans="1:6" ht="16.5">
      <c r="A11" s="12" t="s">
        <v>14</v>
      </c>
      <c r="B11" s="68" t="s">
        <v>24</v>
      </c>
      <c r="C11" s="69"/>
      <c r="D11" s="69"/>
      <c r="E11" s="69"/>
      <c r="F11" s="70"/>
    </row>
  </sheetData>
  <mergeCells count="8">
    <mergeCell ref="A1:F2"/>
    <mergeCell ref="B7:F7"/>
    <mergeCell ref="A8:F8"/>
    <mergeCell ref="D9:F9"/>
    <mergeCell ref="D10:F10"/>
    <mergeCell ref="B11:F11"/>
    <mergeCell ref="E3:E4"/>
    <mergeCell ref="F3:F4"/>
  </mergeCells>
  <phoneticPr fontId="13" type="noConversion"/>
  <dataValidations count="4">
    <dataValidation type="list" allowBlank="1" showInputMessage="1" showErrorMessage="1" sqref="B9">
      <formula1>" ,满足,不满足"</formula1>
    </dataValidation>
    <dataValidation type="list" allowBlank="1" showInputMessage="1" showErrorMessage="1" sqref="D10:F10">
      <formula1>"满足,不满足"</formula1>
    </dataValidation>
    <dataValidation type="list" allowBlank="1" showInputMessage="1" showErrorMessage="1" sqref="D9:F9">
      <formula1>"是,否"</formula1>
    </dataValidation>
    <dataValidation type="list" allowBlank="1" showInputMessage="1" showErrorMessage="1" sqref="B10">
      <formula1>"通过,不通过"</formula1>
    </dataValidation>
  </dataValidations>
  <pageMargins left="0.75" right="0.75" top="1" bottom="1" header="0.5" footer="0.5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C16"/>
  <sheetViews>
    <sheetView tabSelected="1" workbookViewId="0">
      <selection sqref="A1:C16"/>
    </sheetView>
  </sheetViews>
  <sheetFormatPr defaultColWidth="8.75" defaultRowHeight="12.75"/>
  <cols>
    <col min="1" max="1" width="22.5" style="15" customWidth="1"/>
    <col min="2" max="2" width="14.125" style="15" customWidth="1"/>
    <col min="3" max="3" width="38.125" style="15" customWidth="1"/>
    <col min="4" max="16384" width="8.75" style="15"/>
  </cols>
  <sheetData>
    <row r="1" spans="1:3" ht="13.5" customHeight="1">
      <c r="A1" s="28" t="s">
        <v>99</v>
      </c>
      <c r="B1" s="29"/>
      <c r="C1" s="30"/>
    </row>
    <row r="2" spans="1:3">
      <c r="A2" s="31"/>
      <c r="B2" s="32"/>
      <c r="C2" s="33"/>
    </row>
    <row r="3" spans="1:3">
      <c r="A3" s="19" t="s">
        <v>103</v>
      </c>
      <c r="B3" s="34"/>
      <c r="C3" s="35"/>
    </row>
    <row r="4" spans="1:3">
      <c r="A4" s="19" t="s">
        <v>104</v>
      </c>
      <c r="B4" s="34"/>
      <c r="C4" s="36"/>
    </row>
    <row r="5" spans="1:3">
      <c r="A5" s="19" t="s">
        <v>77</v>
      </c>
      <c r="B5" s="34"/>
      <c r="C5" s="36"/>
    </row>
    <row r="6" spans="1:3">
      <c r="A6" s="19" t="s">
        <v>1</v>
      </c>
      <c r="B6" s="34"/>
      <c r="C6" s="36"/>
    </row>
    <row r="7" spans="1:3">
      <c r="A7" s="19" t="s">
        <v>105</v>
      </c>
      <c r="B7" s="34"/>
      <c r="C7" s="35"/>
    </row>
    <row r="8" spans="1:3">
      <c r="A8" s="20" t="s">
        <v>106</v>
      </c>
      <c r="B8" s="40"/>
      <c r="C8" s="40"/>
    </row>
    <row r="9" spans="1:3" ht="52.5" customHeight="1">
      <c r="A9" s="22" t="s">
        <v>4</v>
      </c>
      <c r="B9" s="41"/>
      <c r="C9" s="42"/>
    </row>
    <row r="10" spans="1:3">
      <c r="A10" s="22" t="s">
        <v>5</v>
      </c>
      <c r="B10" s="43"/>
      <c r="C10" s="43"/>
    </row>
    <row r="11" spans="1:3" ht="261.95" customHeight="1">
      <c r="A11" s="27" t="s">
        <v>74</v>
      </c>
      <c r="B11" s="16" t="s">
        <v>70</v>
      </c>
      <c r="C11" s="17"/>
    </row>
    <row r="12" spans="1:3" ht="62.1" customHeight="1">
      <c r="A12" s="27"/>
      <c r="B12" s="16" t="s">
        <v>71</v>
      </c>
      <c r="C12" s="18" t="s">
        <v>6</v>
      </c>
    </row>
    <row r="13" spans="1:3" ht="30.75" customHeight="1">
      <c r="A13" s="27"/>
      <c r="B13" s="16" t="s">
        <v>72</v>
      </c>
      <c r="C13" s="16"/>
    </row>
    <row r="14" spans="1:3">
      <c r="A14" s="22" t="s">
        <v>76</v>
      </c>
      <c r="B14" s="37">
        <f ca="1">TODAY()</f>
        <v>43762</v>
      </c>
      <c r="C14" s="38"/>
    </row>
    <row r="15" spans="1:3">
      <c r="A15" s="22" t="s">
        <v>78</v>
      </c>
      <c r="B15" s="39"/>
      <c r="C15" s="38"/>
    </row>
    <row r="16" spans="1:3">
      <c r="A16" s="22" t="s">
        <v>107</v>
      </c>
      <c r="B16" s="39"/>
      <c r="C16" s="38"/>
    </row>
  </sheetData>
  <mergeCells count="13">
    <mergeCell ref="B15:C15"/>
    <mergeCell ref="B16:C16"/>
    <mergeCell ref="B8:C8"/>
    <mergeCell ref="B9:C9"/>
    <mergeCell ref="B10:C10"/>
    <mergeCell ref="A11:A13"/>
    <mergeCell ref="B14:C14"/>
    <mergeCell ref="A1:C2"/>
    <mergeCell ref="B3:C3"/>
    <mergeCell ref="B4:C4"/>
    <mergeCell ref="B5:C5"/>
    <mergeCell ref="B6:C6"/>
    <mergeCell ref="B7:C7"/>
  </mergeCells>
  <phoneticPr fontId="13" type="noConversion"/>
  <pageMargins left="0.75" right="0.75" top="1" bottom="1" header="0.5" footer="0.5"/>
  <pageSetup paperSize="9" orientation="portrait" horizontalDpi="1200" verticalDpi="1200" r:id="rId1"/>
  <drawing r:id="rId2"/>
  <legacyDrawing r:id="rId3"/>
  <controls>
    <control shapeId="9220" r:id="rId4" name="OptionButton1"/>
    <control shapeId="9219" r:id="rId5" name="OptionButton2"/>
    <control shapeId="9218" r:id="rId6" name="OptionButton3"/>
    <control shapeId="9217" r:id="rId7" name="OptionButton4"/>
  </control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D17"/>
  <sheetViews>
    <sheetView zoomScale="145" zoomScaleNormal="145" workbookViewId="0">
      <selection activeCell="F12" sqref="F12"/>
    </sheetView>
  </sheetViews>
  <sheetFormatPr defaultColWidth="8.75" defaultRowHeight="13.5"/>
  <cols>
    <col min="2" max="2" width="11.75" customWidth="1"/>
    <col min="3" max="3" width="22.75" customWidth="1"/>
    <col min="4" max="4" width="12.875"/>
  </cols>
  <sheetData>
    <row r="1" spans="1:4">
      <c r="A1" s="1" t="s">
        <v>29</v>
      </c>
      <c r="B1" s="1" t="s">
        <v>30</v>
      </c>
      <c r="C1" s="1" t="s">
        <v>31</v>
      </c>
      <c r="D1" s="1" t="s">
        <v>32</v>
      </c>
    </row>
    <row r="2" spans="1:4">
      <c r="A2" s="76" t="s">
        <v>33</v>
      </c>
      <c r="B2" s="1" t="s">
        <v>34</v>
      </c>
      <c r="C2" s="2" t="s">
        <v>35</v>
      </c>
      <c r="D2" s="1">
        <v>13422445183</v>
      </c>
    </row>
    <row r="3" spans="1:4">
      <c r="A3" s="76"/>
      <c r="B3" s="1" t="s">
        <v>36</v>
      </c>
      <c r="C3" s="2" t="s">
        <v>37</v>
      </c>
      <c r="D3" s="1">
        <v>13829987817</v>
      </c>
    </row>
    <row r="4" spans="1:4" ht="14.25">
      <c r="A4" s="76"/>
      <c r="B4" s="1" t="s">
        <v>38</v>
      </c>
      <c r="C4" s="2" t="s">
        <v>39</v>
      </c>
      <c r="D4" s="3">
        <v>13531611945</v>
      </c>
    </row>
    <row r="5" spans="1:4">
      <c r="A5" s="76"/>
      <c r="B5" s="1" t="s">
        <v>40</v>
      </c>
      <c r="C5" s="2" t="s">
        <v>41</v>
      </c>
      <c r="D5" s="1">
        <v>18316378791</v>
      </c>
    </row>
    <row r="6" spans="1:4">
      <c r="A6" s="76" t="s">
        <v>42</v>
      </c>
      <c r="B6" s="1" t="s">
        <v>43</v>
      </c>
      <c r="C6" s="2" t="s">
        <v>44</v>
      </c>
      <c r="D6" s="1">
        <v>18825470605</v>
      </c>
    </row>
    <row r="7" spans="1:4">
      <c r="A7" s="76"/>
      <c r="B7" s="1" t="s">
        <v>45</v>
      </c>
      <c r="C7" s="2" t="s">
        <v>46</v>
      </c>
      <c r="D7" s="1">
        <v>13790794570</v>
      </c>
    </row>
    <row r="8" spans="1:4" ht="14.25">
      <c r="A8" s="76"/>
      <c r="B8" s="1" t="s">
        <v>47</v>
      </c>
      <c r="C8" s="4" t="s">
        <v>48</v>
      </c>
      <c r="D8" s="1">
        <v>13413029201</v>
      </c>
    </row>
    <row r="9" spans="1:4">
      <c r="A9" s="76"/>
      <c r="B9" s="1" t="s">
        <v>49</v>
      </c>
      <c r="C9" s="2" t="s">
        <v>50</v>
      </c>
      <c r="D9" s="1">
        <v>13725023075</v>
      </c>
    </row>
    <row r="10" spans="1:4">
      <c r="A10" s="76"/>
      <c r="B10" s="1" t="s">
        <v>51</v>
      </c>
      <c r="C10" s="2" t="s">
        <v>52</v>
      </c>
      <c r="D10" s="1"/>
    </row>
    <row r="11" spans="1:4">
      <c r="A11" s="76" t="s">
        <v>53</v>
      </c>
      <c r="B11" s="1" t="s">
        <v>54</v>
      </c>
      <c r="C11" s="2" t="s">
        <v>55</v>
      </c>
      <c r="D11" s="1">
        <v>13823638670</v>
      </c>
    </row>
    <row r="12" spans="1:4">
      <c r="A12" s="76"/>
      <c r="B12" s="1" t="s">
        <v>56</v>
      </c>
      <c r="C12" s="2" t="s">
        <v>57</v>
      </c>
      <c r="D12" s="1">
        <v>13528007962</v>
      </c>
    </row>
    <row r="13" spans="1:4">
      <c r="A13" s="76" t="s">
        <v>58</v>
      </c>
      <c r="B13" s="1" t="s">
        <v>59</v>
      </c>
      <c r="C13" s="2" t="s">
        <v>60</v>
      </c>
      <c r="D13" s="1">
        <v>18823648337</v>
      </c>
    </row>
    <row r="14" spans="1:4">
      <c r="A14" s="76"/>
      <c r="B14" s="1" t="s">
        <v>61</v>
      </c>
      <c r="C14" s="2" t="s">
        <v>62</v>
      </c>
      <c r="D14" s="1">
        <v>18829955924</v>
      </c>
    </row>
    <row r="15" spans="1:4">
      <c r="A15" s="76"/>
      <c r="B15" s="1" t="s">
        <v>63</v>
      </c>
      <c r="C15" s="2" t="s">
        <v>64</v>
      </c>
      <c r="D15" s="1">
        <v>13829942366</v>
      </c>
    </row>
    <row r="16" spans="1:4">
      <c r="A16" s="76" t="s">
        <v>65</v>
      </c>
      <c r="B16" s="1" t="s">
        <v>66</v>
      </c>
      <c r="C16" s="2" t="s">
        <v>67</v>
      </c>
      <c r="D16" s="1">
        <v>13531621008</v>
      </c>
    </row>
    <row r="17" spans="1:4">
      <c r="A17" s="76"/>
      <c r="B17" s="1" t="s">
        <v>68</v>
      </c>
      <c r="C17" s="2" t="s">
        <v>69</v>
      </c>
      <c r="D17" s="1">
        <v>15815498641</v>
      </c>
    </row>
  </sheetData>
  <mergeCells count="5">
    <mergeCell ref="A2:A5"/>
    <mergeCell ref="A6:A10"/>
    <mergeCell ref="A11:A12"/>
    <mergeCell ref="A13:A15"/>
    <mergeCell ref="A16:A17"/>
  </mergeCells>
  <phoneticPr fontId="13" type="noConversion"/>
  <hyperlinks>
    <hyperlink ref="C2" r:id="rId1"/>
    <hyperlink ref="C3" r:id="rId2"/>
    <hyperlink ref="C4" r:id="rId3"/>
    <hyperlink ref="C5" r:id="rId4"/>
    <hyperlink ref="C7" r:id="rId5"/>
    <hyperlink ref="C6" r:id="rId6"/>
    <hyperlink ref="C8" r:id="rId7" tooltip="mailto:yuanzy@tcl.com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</hyperlinks>
  <pageMargins left="0.75" right="0.75" top="1" bottom="1" header="0.5" footer="0.5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软件返工升级信息</vt:lpstr>
      <vt:lpstr>软件迭代通知</vt:lpstr>
      <vt:lpstr> 软件暂停使用通知</vt:lpstr>
      <vt:lpstr>ODF订单软件评审结果</vt:lpstr>
      <vt:lpstr>消化升级</vt:lpstr>
      <vt:lpstr>知会人员名单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tangyuhui</dc:creator>
  <cp:lastModifiedBy>Administrator</cp:lastModifiedBy>
  <dcterms:created xsi:type="dcterms:W3CDTF">2019-08-27T07:12:00Z</dcterms:created>
  <dcterms:modified xsi:type="dcterms:W3CDTF">2019-10-24T10:29:07Z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