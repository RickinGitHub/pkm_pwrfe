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gyuhui.TCLKING\Documents\工作文档\2018工作\ODF订单效率\ODF订单评审-2018-8-31\"/>
    </mc:Choice>
  </mc:AlternateContent>
  <xr:revisionPtr revIDLastSave="0" documentId="8_{97FCD0A4-9368-4EF3-95FA-F0960C008A0A}" xr6:coauthVersionLast="34" xr6:coauthVersionMax="34" xr10:uidLastSave="{00000000-0000-0000-0000-000000000000}"/>
  <bookViews>
    <workbookView xWindow="600" yWindow="110" windowWidth="20480" windowHeight="9630" activeTab="1" xr2:uid="{00000000-000D-0000-FFFF-FFFF00000000}"/>
  </bookViews>
  <sheets>
    <sheet name="会议纪要" sheetId="2" r:id="rId1"/>
    <sheet name="对比图" sheetId="7" r:id="rId2"/>
    <sheet name="ODF订单软件评审指导流程" sheetId="4" r:id="rId3"/>
    <sheet name="ODF订单软件评审执行表单" sheetId="5" r:id="rId4"/>
    <sheet name="生产售后异常问题" sheetId="3" state="hidden" r:id="rId5"/>
    <sheet name="Sheet1" sheetId="6" r:id="rId6"/>
  </sheets>
  <definedNames>
    <definedName name="_xlnm._FilterDatabase" localSheetId="4" hidden="1">生产售后异常问题!$A$2:$O$18</definedName>
  </definedNames>
  <calcPr calcId="162913"/>
</workbook>
</file>

<file path=xl/calcChain.xml><?xml version="1.0" encoding="utf-8"?>
<calcChain xmlns="http://schemas.openxmlformats.org/spreadsheetml/2006/main">
  <c r="F3" i="5" l="1"/>
</calcChain>
</file>

<file path=xl/sharedStrings.xml><?xml version="1.0" encoding="utf-8"?>
<sst xmlns="http://schemas.openxmlformats.org/spreadsheetml/2006/main" count="249" uniqueCount="179">
  <si>
    <t>进行中</t>
  </si>
  <si>
    <t>完成</t>
  </si>
  <si>
    <t>陈伟强</t>
  </si>
  <si>
    <t>蒋明珠</t>
  </si>
  <si>
    <t>田伟旭</t>
  </si>
  <si>
    <t>李志伟</t>
  </si>
  <si>
    <t>机芯</t>
  </si>
  <si>
    <t>区域/品牌</t>
  </si>
  <si>
    <t>发生时间</t>
  </si>
  <si>
    <t>问题描述</t>
  </si>
  <si>
    <t>问题软件版本</t>
  </si>
  <si>
    <t>跟进人</t>
  </si>
  <si>
    <t>原因分析</t>
  </si>
  <si>
    <t>解决措施（临时或根本措施）</t>
  </si>
  <si>
    <t>解决问题所输出的软件版本</t>
  </si>
  <si>
    <t>预计导入时间</t>
  </si>
  <si>
    <t>备注</t>
  </si>
  <si>
    <t>状态</t>
  </si>
  <si>
    <t>结案说明</t>
  </si>
  <si>
    <t>NT63-LA</t>
  </si>
  <si>
    <t>美洲区</t>
  </si>
  <si>
    <t>YOUTUBE长时间播放网络异常</t>
  </si>
  <si>
    <t>/</t>
  </si>
  <si>
    <t>域名解析概率性异常，导致网络状态出错</t>
  </si>
  <si>
    <t>增加百度和谷歌的公共域名服务DNS，提高网络检测的成功率</t>
  </si>
  <si>
    <t>售后</t>
  </si>
  <si>
    <t>客户确认中</t>
  </si>
  <si>
    <t>MS648B1-AP</t>
  </si>
  <si>
    <t>中东</t>
  </si>
  <si>
    <t>沙特反馈机顶盒切换频道，声音延迟约一分钟才听到</t>
  </si>
  <si>
    <t>V8-S68AT02-LF1V150</t>
  </si>
  <si>
    <t>由于PQ delay 的存在，导致画面延迟了</t>
  </si>
  <si>
    <t>根据pq delay的数值对Audio 进行delay 来达到同步</t>
  </si>
  <si>
    <t>亚太区</t>
  </si>
  <si>
    <t>RU售后方面收到客户反馈一台L49“机器在正常播放电视节目或电脑中输出的电影时，电视画面会不间断地出现"your TV set will be switched-off through..." 信息</t>
  </si>
  <si>
    <t>V8-S68AT02-LF1V169</t>
  </si>
  <si>
    <t>客户提供信息不足，中国压测也无法复现</t>
  </si>
  <si>
    <t>无法复现</t>
  </si>
  <si>
    <t>MT5655-P3</t>
  </si>
  <si>
    <t>伊朗客诉//49P3 wireless display 功能异常</t>
  </si>
  <si>
    <t>V8-T56FT07-LF1V036</t>
  </si>
  <si>
    <t>陈胜</t>
  </si>
  <si>
    <t>进入wireless应用前经过主页小窗口，小窗口设置了scale</t>
  </si>
  <si>
    <t>在进入wireless应用时设置scale还原</t>
  </si>
  <si>
    <t>V8-T56FT07-LF1V039</t>
  </si>
  <si>
    <t>MT5655-CA</t>
  </si>
  <si>
    <t>中美</t>
  </si>
  <si>
    <t>调整时区后无法准确调整时间导致YOUTUBE/NETFLIX问题</t>
  </si>
  <si>
    <t>1. 时区问题：个别国家（萨尔瓦多/牙买加）未指定相应时区，使用了默认的0时区，导致时间不对
2.YOUTUBE/NETFLIX问题：模拟未见，售后反馈的信息不清晰不准确，实际并无MT5655的退机信息</t>
  </si>
  <si>
    <t>1，时区问题：同步中间件主干，对萨尔瓦多/牙买加指定相应的时区
2，YOUTUBE/NETFLIX问题：售后梳理确认客诉信息</t>
  </si>
  <si>
    <t>V8-T56FT05-LF1R727</t>
  </si>
  <si>
    <t>待售后确认</t>
  </si>
  <si>
    <t>MT5655-AU</t>
  </si>
  <si>
    <t>澳洲</t>
  </si>
  <si>
    <t>HBBTV-7Plus应用中的视频播放不了，界面一直处于缓冲状态</t>
  </si>
  <si>
    <t>HBBTV的 Soup Server 插件未支持Range HTTP Header的传输协议</t>
  </si>
  <si>
    <t>同步中间件主干，使HBBTV的 Soup Server 插件支持Range HTTP Header的传输协议</t>
  </si>
  <si>
    <t>V8-T56FT05-LF1V456</t>
  </si>
  <si>
    <t>迪拜LED43S6200FS退出USB播放死机问题</t>
  </si>
  <si>
    <t xml:space="preserve">蒋明珠 </t>
  </si>
  <si>
    <t>客户家中有其他设备，导致开机时进入USB下，多屏互动的进程出现问题</t>
  </si>
  <si>
    <t>多屏互动ower已经对问题做规避处理</t>
  </si>
  <si>
    <t>V8-N563T01-LF1V149临时</t>
  </si>
  <si>
    <t>S62 Linux 平台
     1.Wifi Direct 功能再使用过后，相关选项就消失，只能通过reset后，再次出现，并且在印度wifi并不十分稳定和普及，wifi direct的手机和电脑传屏功能很受欢迎和实用。</t>
  </si>
  <si>
    <t>在主页按设置键进入smart tv，找不widi入口；一直以来设计如此。</t>
  </si>
  <si>
    <t>V8-N563T01-LF1V150</t>
  </si>
  <si>
    <t>MS6586-TW</t>
  </si>
  <si>
    <t>台湾客户反馈MS6586项目在播放youtube时2-3钟会导致电视机重启</t>
  </si>
  <si>
    <t>V8-S586T02-LF1V221</t>
  </si>
  <si>
    <t>客户无法提供LOG，SQA和本地模拟共2D未发现</t>
  </si>
  <si>
    <t>已给最新281版软件，待客户反馈结果</t>
  </si>
  <si>
    <t>V8-S586T02-LF1V281</t>
  </si>
  <si>
    <t>MS6586-LA</t>
  </si>
  <si>
    <t>拉美区</t>
  </si>
  <si>
    <t>客户使用PS4播放HDR视频，电视无法识别</t>
  </si>
  <si>
    <t>SQA确认OK，客户要求使用最新软件确认。</t>
  </si>
  <si>
    <t>已给最新软件008版，已超过2个星期，还未反馈。</t>
  </si>
  <si>
    <t>V8-S586T05-LF1V008</t>
  </si>
  <si>
    <t>序号</t>
  </si>
  <si>
    <t>V8-N563T01-LF1V156</t>
  </si>
  <si>
    <t>客户已确认OK</t>
  </si>
  <si>
    <t>赖炫杆</t>
  </si>
  <si>
    <t>V8-S68AT02-LF1V173</t>
  </si>
  <si>
    <t>待客户验证结果</t>
  </si>
  <si>
    <t>需客户提供LOG等信息，截至8月17日下午确认仍无法提供，建议可先临时关闭此问题（目前仅收到1pcs反馈）。</t>
  </si>
  <si>
    <t>客户无法提供有效信息</t>
  </si>
  <si>
    <t>澳洲产品经理场测通过，待客户验证结果</t>
  </si>
  <si>
    <t xml:space="preserve">WiDI 和T-cast 已发布第一版软件，经过SQA测试后，正准备发布第二版本软件 </t>
  </si>
  <si>
    <t>MST14</t>
  </si>
  <si>
    <t>MST14 SCBC三合一主板量产过程中出现切换信源死机重启，不良概率3.6%左右</t>
  </si>
  <si>
    <t>v8.0.2.2025</t>
  </si>
  <si>
    <t>预抄写后首次上电过程中，软件会生成签名数据并写入到FLASH，在此过程中机架供电异常中断导致数据写入异常</t>
  </si>
  <si>
    <t>改善机架供电稳定和修改三合一板测试顺序（先机芯板后电源板）
与Roku确认能否修改安全机制规避此问题</t>
  </si>
  <si>
    <t>无</t>
  </si>
  <si>
    <t>待定</t>
  </si>
  <si>
    <t>生产</t>
  </si>
  <si>
    <t>Roku确认中</t>
  </si>
  <si>
    <t>MS6586</t>
  </si>
  <si>
    <t>台湾客户反馈
1、APPS里面没有youtube图标
2、在使用 T-BROWSER浏览器时出现升级提示，有的视频播放不能全屏</t>
  </si>
  <si>
    <t>V281</t>
  </si>
  <si>
    <t>1、主页未更新部署端页面，本地主页与部署的不一致
2、访问Google主页弹出chrome浏览器升级提示</t>
  </si>
  <si>
    <t>俄罗斯用户反馈ARC功能异常</t>
  </si>
  <si>
    <t>SQA未复现，暂不能确认问题原因</t>
  </si>
  <si>
    <t>需要售后提供LOG</t>
  </si>
  <si>
    <t>NT63-AP</t>
  </si>
  <si>
    <t>DVB-T2信源下，16:9的画面下会出现如附件图片的黑色和灰色的横边.</t>
  </si>
  <si>
    <t>目前已经获取到码流，但未复现，初步判断跟画质相关</t>
  </si>
  <si>
    <t>增加硬件相关人员确认，同时跟客户要相关机型信息。</t>
  </si>
  <si>
    <t xml:space="preserve"> </t>
  </si>
  <si>
    <t>马来西亚49S62客户反馈播放视频网站链接：http://tamilhdtv.eu 自动重启</t>
  </si>
  <si>
    <t>模拟未见，但未复现</t>
  </si>
  <si>
    <t>跟客户确认是否100%复现，同时跟客户要一个故障视频。</t>
  </si>
  <si>
    <t>MS6488-linux</t>
  </si>
  <si>
    <t>巴西P2项目Youtube不能访问</t>
  </si>
  <si>
    <t>ping 谷歌失败，导致同步时间服务没有启动；
客户有一个地方的网络不好，可能对网络进行了部分限制</t>
  </si>
  <si>
    <t>1、无法从根本上解决客户网络问题，但可从获取时间上做规避，
即可以在获取到网络后，直接启动获取时间服务。
2、8-10客户反馈措施验证无效；需要重新给出措施
3、8-17 给出一个增加DTV时间同步功能的版本，待客户验证。</t>
  </si>
  <si>
    <t>V8-S68AT01-LF1V085</t>
  </si>
  <si>
    <t>刘德财
黄兆文</t>
    <phoneticPr fontId="3" type="noConversion"/>
  </si>
  <si>
    <t>蒋明珠
黄志明</t>
    <phoneticPr fontId="3" type="noConversion"/>
  </si>
  <si>
    <t>黄欣华
张威
田伟旭</t>
    <phoneticPr fontId="3" type="noConversion"/>
  </si>
  <si>
    <t>黄欣华
张威
田伟旭</t>
    <phoneticPr fontId="3" type="noConversion"/>
  </si>
  <si>
    <t>蒋明珠
赖炫杆</t>
    <phoneticPr fontId="3" type="noConversion"/>
  </si>
  <si>
    <t>蒋明珠
陈胜</t>
    <phoneticPr fontId="3" type="noConversion"/>
  </si>
  <si>
    <t>BOM号</t>
  </si>
  <si>
    <t>H3-40D29HK-LINA0AA</t>
  </si>
  <si>
    <t>参加人员</t>
  </si>
  <si>
    <t>会议时间</t>
  </si>
  <si>
    <t>会议地点</t>
  </si>
  <si>
    <t>惠州液晶产业园4楼6号会议室</t>
  </si>
  <si>
    <t>会议主持</t>
  </si>
  <si>
    <t>黄瀚海</t>
  </si>
  <si>
    <t>会议记录</t>
  </si>
  <si>
    <t>唐煜辉</t>
  </si>
  <si>
    <t>事项</t>
  </si>
  <si>
    <t>结果描述</t>
  </si>
  <si>
    <t>主责</t>
  </si>
  <si>
    <t>完成时间</t>
  </si>
  <si>
    <t>完成情况</t>
  </si>
  <si>
    <t>孟梁军
黄兆文
贝春蕾</t>
  </si>
  <si>
    <t>1、按讨论结果对现有流程做局部修改，明确执行动作，避免产生理解歧义。</t>
  </si>
  <si>
    <t>2、按讨论结果修改评审执行表单模板，实现自动计算试产需求。</t>
  </si>
  <si>
    <t>3、各小组严格执行《ODF订单软件评审指导流程》，按《ODF订单软件评审执行表单》填写各项内容，明确输出对应订单的PID、软件版本、软件试产与否的软件评审结果。</t>
  </si>
  <si>
    <t>4、各小组严格做好《ODF订单软件评审执行表单》的归档保存，关注实施状况，及时反馈异常。</t>
  </si>
  <si>
    <t>结合实际工作情况，重新梳理现有流程</t>
  </si>
  <si>
    <t>加强订单软件评审工作的审查</t>
  </si>
  <si>
    <t>实行月度审查，审查各小组的执行情况及所碰到的问题。
并按下面三种情况归类统计软件提出试产需求的月度情况表。
1、最新软件不满足需求，需要修改软件而提出试产；
2、对应国家/地区没有通过SQA的差异化测试而提出试产；
3、对应PID已量产软件不能满足需求，需要使用新版本软件而提出试产；</t>
  </si>
  <si>
    <t>龙彩云</t>
  </si>
  <si>
    <t>2018/9/4开始执行</t>
  </si>
  <si>
    <t>持续</t>
  </si>
  <si>
    <t>孟梁军</t>
  </si>
  <si>
    <t>收集前期的试产需求数据，便于后续做对比</t>
  </si>
  <si>
    <t>针对MS6586和NT72563两个机芯产品系列，组织收集 3~6月和6~8月因订单软件而试产的数据。</t>
  </si>
  <si>
    <t>PID</t>
  </si>
  <si>
    <t>软件版本</t>
  </si>
  <si>
    <t>软件是否需要试产？</t>
  </si>
  <si>
    <t>ODF订单软件评审结果</t>
  </si>
  <si>
    <t>SVN的最新软件是否满足需求</t>
  </si>
  <si>
    <t>该国家/地区是否首次出货</t>
  </si>
  <si>
    <t>该国家/地区是否已通过SQA的差异化测试</t>
  </si>
  <si>
    <t>预分配PID对应释放单的软件版本是否满足需求</t>
  </si>
  <si>
    <t>黄兆文、黄欣华、孟梁军、韦裕华、蒋明珠、赖炫杆、刘德财、杨国志、贝春蕾（请假）、龙彩云（请假）、田伟旭（请假）</t>
  </si>
  <si>
    <t>这三行信息必须发送给ODF订单小组</t>
    <phoneticPr fontId="2" type="noConversion"/>
  </si>
  <si>
    <t>2018-08-30 PM 15：00~17:30</t>
    <phoneticPr fontId="2" type="noConversion"/>
  </si>
  <si>
    <t>List：ODF订单软件评审指导流程</t>
    <phoneticPr fontId="2" type="noConversion"/>
  </si>
  <si>
    <t>List：ODF订单软件评审执行表单</t>
    <phoneticPr fontId="2" type="noConversion"/>
  </si>
  <si>
    <t>如果"软件是否需要试产"这一栏的结果是"否"，则请走工厂免试产流程</t>
    <phoneticPr fontId="2" type="noConversion"/>
  </si>
  <si>
    <t>如多个订单出货同一个国家，只需试产一个订单，需和计划沟通，尽量减少试产批次。</t>
    <phoneticPr fontId="2" type="noConversion"/>
  </si>
  <si>
    <t>满足</t>
  </si>
  <si>
    <t>是</t>
  </si>
  <si>
    <t>通过</t>
  </si>
  <si>
    <t>备注</t>
    <phoneticPr fontId="2" type="noConversion"/>
  </si>
  <si>
    <t>ODF订单号</t>
    <phoneticPr fontId="2" type="noConversion"/>
  </si>
  <si>
    <t>完成</t>
    <phoneticPr fontId="2" type="noConversion"/>
  </si>
  <si>
    <t>完成</t>
    <phoneticPr fontId="2" type="noConversion"/>
  </si>
  <si>
    <t>完成</t>
    <phoneticPr fontId="2" type="noConversion"/>
  </si>
  <si>
    <t>会议主题：ODF 订单软件评审流程优化讨论</t>
    <phoneticPr fontId="2" type="noConversion"/>
  </si>
  <si>
    <t>满足</t>
    <phoneticPr fontId="2" type="noConversion"/>
  </si>
  <si>
    <t>不满足</t>
    <phoneticPr fontId="2" type="noConversion"/>
  </si>
  <si>
    <t>满足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</si>
</sst>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804]aaa;@"/>
  </numFmts>
  <fonts count="22" x14ac:knownFonts="1">
    <font>
      <sz val="11"/>
      <color theme="1"/>
      <name val="宋体"/>
      <family val="2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.5"/>
      <color rgb="FF1F497D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6"/>
      <color theme="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176" fontId="0" fillId="0" borderId="0">
      <alignment vertical="center"/>
    </xf>
  </cellStyleXfs>
  <cellXfs count="109">
    <xf numFmtId="176" fontId="0" fillId="0" borderId="0" xfId="0">
      <alignment vertical="center"/>
    </xf>
    <xf numFmtId="176" fontId="5" fillId="4" borderId="1" xfId="0" applyFont="1" applyFill="1" applyBorder="1" applyAlignment="1">
      <alignment horizontal="left" vertical="center"/>
    </xf>
    <xf numFmtId="176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76" fontId="6" fillId="4" borderId="1" xfId="0" applyFont="1" applyFill="1" applyBorder="1" applyAlignment="1">
      <alignment horizontal="left" vertical="center" wrapText="1"/>
    </xf>
    <xf numFmtId="176" fontId="6" fillId="4" borderId="1" xfId="0" applyFont="1" applyFill="1" applyBorder="1" applyAlignment="1">
      <alignment horizontal="center" vertical="center" wrapText="1"/>
    </xf>
    <xf numFmtId="176" fontId="5" fillId="4" borderId="1" xfId="0" applyFont="1" applyFill="1" applyBorder="1" applyAlignment="1">
      <alignment horizontal="center" vertical="center" wrapText="1"/>
    </xf>
    <xf numFmtId="176" fontId="5" fillId="4" borderId="1" xfId="0" applyFont="1" applyFill="1" applyBorder="1" applyAlignment="1">
      <alignment horizontal="left" vertical="center" wrapText="1"/>
    </xf>
    <xf numFmtId="176" fontId="4" fillId="4" borderId="1" xfId="0" applyFont="1" applyFill="1" applyBorder="1" applyAlignment="1">
      <alignment horizontal="center" vertical="center" wrapText="1"/>
    </xf>
    <xf numFmtId="176" fontId="5" fillId="3" borderId="1" xfId="0" applyFont="1" applyFill="1" applyBorder="1" applyAlignment="1">
      <alignment horizontal="left" vertical="center"/>
    </xf>
    <xf numFmtId="176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76" fontId="6" fillId="3" borderId="1" xfId="0" applyFont="1" applyFill="1" applyBorder="1" applyAlignment="1">
      <alignment horizontal="left" vertical="center" wrapText="1"/>
    </xf>
    <xf numFmtId="176" fontId="6" fillId="3" borderId="1" xfId="0" applyFont="1" applyFill="1" applyBorder="1" applyAlignment="1">
      <alignment horizontal="center" vertical="center" wrapText="1"/>
    </xf>
    <xf numFmtId="176" fontId="5" fillId="3" borderId="1" xfId="0" applyFont="1" applyFill="1" applyBorder="1" applyAlignment="1">
      <alignment horizontal="center" vertical="center" wrapText="1"/>
    </xf>
    <xf numFmtId="176" fontId="5" fillId="3" borderId="1" xfId="0" applyFont="1" applyFill="1" applyBorder="1" applyAlignment="1">
      <alignment horizontal="left" vertical="center" wrapText="1"/>
    </xf>
    <xf numFmtId="176" fontId="4" fillId="3" borderId="1" xfId="0" applyFont="1" applyFill="1" applyBorder="1" applyAlignment="1">
      <alignment horizontal="center" vertical="center" wrapText="1"/>
    </xf>
    <xf numFmtId="176" fontId="5" fillId="5" borderId="1" xfId="0" applyFont="1" applyFill="1" applyBorder="1" applyAlignment="1">
      <alignment horizontal="left" vertical="center"/>
    </xf>
    <xf numFmtId="176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76" fontId="6" fillId="5" borderId="1" xfId="0" applyFont="1" applyFill="1" applyBorder="1" applyAlignment="1">
      <alignment horizontal="left" vertical="center" wrapText="1"/>
    </xf>
    <xf numFmtId="176" fontId="6" fillId="5" borderId="1" xfId="0" applyFont="1" applyFill="1" applyBorder="1" applyAlignment="1">
      <alignment horizontal="center" vertical="center" wrapText="1"/>
    </xf>
    <xf numFmtId="176" fontId="5" fillId="5" borderId="1" xfId="0" applyFont="1" applyFill="1" applyBorder="1" applyAlignment="1">
      <alignment horizontal="center" vertical="center" wrapText="1"/>
    </xf>
    <xf numFmtId="176" fontId="5" fillId="5" borderId="1" xfId="0" applyFont="1" applyFill="1" applyBorder="1" applyAlignment="1">
      <alignment horizontal="left" vertical="center" wrapText="1"/>
    </xf>
    <xf numFmtId="176" fontId="4" fillId="5" borderId="1" xfId="0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left" vertical="center"/>
    </xf>
    <xf numFmtId="176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76" fontId="6" fillId="0" borderId="1" xfId="0" applyFont="1" applyFill="1" applyBorder="1" applyAlignment="1">
      <alignment horizontal="left" vertical="center" wrapText="1"/>
    </xf>
    <xf numFmtId="176" fontId="6" fillId="0" borderId="1" xfId="0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left" vertical="center" wrapText="1"/>
    </xf>
    <xf numFmtId="176" fontId="4" fillId="0" borderId="1" xfId="0" applyFont="1" applyFill="1" applyBorder="1" applyAlignment="1">
      <alignment horizontal="center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4" borderId="0" xfId="0" applyFont="1" applyFill="1" applyBorder="1" applyAlignment="1">
      <alignment horizontal="center" vertical="center"/>
    </xf>
    <xf numFmtId="176" fontId="5" fillId="4" borderId="0" xfId="0" applyFont="1" applyFill="1" applyBorder="1" applyAlignment="1">
      <alignment horizontal="left" vertical="center"/>
    </xf>
    <xf numFmtId="176" fontId="1" fillId="0" borderId="0" xfId="0" applyFont="1" applyFill="1" applyBorder="1" applyAlignment="1">
      <alignment horizontal="center" vertical="center"/>
    </xf>
    <xf numFmtId="176" fontId="1" fillId="4" borderId="0" xfId="0" applyFont="1" applyFill="1" applyBorder="1" applyAlignment="1">
      <alignment horizontal="center" vertical="center"/>
    </xf>
    <xf numFmtId="176" fontId="5" fillId="3" borderId="0" xfId="0" applyFont="1" applyFill="1" applyBorder="1" applyAlignment="1">
      <alignment horizontal="left" vertical="center"/>
    </xf>
    <xf numFmtId="176" fontId="5" fillId="5" borderId="0" xfId="0" applyFont="1" applyFill="1" applyBorder="1" applyAlignment="1">
      <alignment horizontal="left" vertical="center"/>
    </xf>
    <xf numFmtId="176" fontId="1" fillId="6" borderId="1" xfId="0" applyFont="1" applyFill="1" applyBorder="1" applyAlignment="1">
      <alignment horizontal="center" vertical="center"/>
    </xf>
    <xf numFmtId="176" fontId="5" fillId="4" borderId="0" xfId="0" applyFont="1" applyFill="1" applyBorder="1" applyAlignment="1">
      <alignment vertical="center"/>
    </xf>
    <xf numFmtId="176" fontId="4" fillId="3" borderId="1" xfId="0" applyFont="1" applyFill="1" applyBorder="1" applyAlignment="1">
      <alignment horizontal="left" vertical="center"/>
    </xf>
    <xf numFmtId="176" fontId="4" fillId="3" borderId="1" xfId="0" applyFont="1" applyFill="1" applyBorder="1" applyAlignment="1">
      <alignment horizontal="left" vertical="center" wrapText="1"/>
    </xf>
    <xf numFmtId="176" fontId="4" fillId="5" borderId="1" xfId="0" applyFont="1" applyFill="1" applyBorder="1" applyAlignment="1">
      <alignment horizontal="left" vertical="center" wrapText="1"/>
    </xf>
    <xf numFmtId="176" fontId="4" fillId="4" borderId="1" xfId="0" applyFont="1" applyFill="1" applyBorder="1" applyAlignment="1">
      <alignment horizontal="left" vertical="center"/>
    </xf>
    <xf numFmtId="176" fontId="4" fillId="4" borderId="0" xfId="0" applyFont="1" applyFill="1" applyBorder="1" applyAlignment="1">
      <alignment horizontal="left" vertical="center"/>
    </xf>
    <xf numFmtId="176" fontId="5" fillId="3" borderId="1" xfId="0" applyFont="1" applyFill="1" applyBorder="1" applyAlignment="1">
      <alignment vertical="center" wrapText="1"/>
    </xf>
    <xf numFmtId="176" fontId="5" fillId="5" borderId="1" xfId="0" applyFont="1" applyFill="1" applyBorder="1" applyAlignment="1">
      <alignment vertical="center" wrapText="1"/>
    </xf>
    <xf numFmtId="176" fontId="5" fillId="4" borderId="1" xfId="0" applyFont="1" applyFill="1" applyBorder="1" applyAlignment="1">
      <alignment vertical="center" wrapText="1"/>
    </xf>
    <xf numFmtId="176" fontId="5" fillId="0" borderId="1" xfId="0" applyFont="1" applyFill="1" applyBorder="1" applyAlignment="1">
      <alignment vertical="center" wrapText="1"/>
    </xf>
    <xf numFmtId="0" fontId="0" fillId="0" borderId="0" xfId="0" applyNumberFormat="1">
      <alignment vertical="center"/>
    </xf>
    <xf numFmtId="176" fontId="0" fillId="0" borderId="0" xfId="0">
      <alignment vertical="center"/>
    </xf>
    <xf numFmtId="176" fontId="0" fillId="0" borderId="0" xfId="0">
      <alignment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76" fontId="9" fillId="0" borderId="1" xfId="0" applyFont="1" applyBorder="1" applyAlignment="1">
      <alignment horizontal="left" vertical="center" wrapText="1"/>
    </xf>
    <xf numFmtId="176" fontId="10" fillId="0" borderId="0" xfId="0" applyFont="1" applyAlignment="1">
      <alignment vertical="center" wrapText="1"/>
    </xf>
    <xf numFmtId="176" fontId="9" fillId="0" borderId="0" xfId="0" applyFont="1" applyAlignment="1">
      <alignment vertical="center" wrapText="1"/>
    </xf>
    <xf numFmtId="176" fontId="8" fillId="0" borderId="0" xfId="0" applyFont="1" applyBorder="1" applyAlignment="1">
      <alignment vertical="center" wrapText="1"/>
    </xf>
    <xf numFmtId="176" fontId="9" fillId="0" borderId="0" xfId="0" applyFont="1" applyBorder="1" applyAlignment="1">
      <alignment vertical="center" wrapText="1"/>
    </xf>
    <xf numFmtId="176" fontId="5" fillId="0" borderId="1" xfId="0" applyFont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176" fontId="5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>
      <alignment vertical="center"/>
    </xf>
    <xf numFmtId="176" fontId="0" fillId="0" borderId="1" xfId="0" applyBorder="1">
      <alignment vertical="center"/>
    </xf>
    <xf numFmtId="176" fontId="11" fillId="0" borderId="0" xfId="0" applyFont="1">
      <alignment vertical="center"/>
    </xf>
    <xf numFmtId="176" fontId="13" fillId="7" borderId="1" xfId="0" applyFont="1" applyFill="1" applyBorder="1" applyAlignment="1">
      <alignment horizontal="center" vertical="center" wrapText="1"/>
    </xf>
    <xf numFmtId="176" fontId="16" fillId="8" borderId="1" xfId="0" applyFont="1" applyFill="1" applyBorder="1" applyAlignment="1">
      <alignment vertical="center" wrapText="1"/>
    </xf>
    <xf numFmtId="176" fontId="18" fillId="8" borderId="1" xfId="0" applyFont="1" applyFill="1" applyBorder="1" applyAlignment="1">
      <alignment vertical="center" wrapText="1"/>
    </xf>
    <xf numFmtId="176" fontId="17" fillId="7" borderId="1" xfId="0" applyFont="1" applyFill="1" applyBorder="1" applyAlignment="1">
      <alignment horizontal="center" vertical="center" wrapText="1"/>
    </xf>
    <xf numFmtId="176" fontId="19" fillId="0" borderId="0" xfId="0" applyFont="1" applyAlignment="1">
      <alignment vertical="center" wrapText="1"/>
    </xf>
    <xf numFmtId="176" fontId="16" fillId="9" borderId="1" xfId="0" applyFont="1" applyFill="1" applyBorder="1" applyAlignment="1">
      <alignment vertical="center" wrapText="1"/>
    </xf>
    <xf numFmtId="176" fontId="12" fillId="8" borderId="1" xfId="0" applyFont="1" applyFill="1" applyBorder="1" applyAlignment="1">
      <alignment horizontal="center" vertical="center" wrapText="1"/>
    </xf>
    <xf numFmtId="176" fontId="15" fillId="8" borderId="1" xfId="0" applyFont="1" applyFill="1" applyBorder="1" applyAlignment="1">
      <alignment horizontal="center" vertical="center" wrapText="1"/>
    </xf>
    <xf numFmtId="176" fontId="15" fillId="9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8" fillId="0" borderId="1" xfId="0" applyFont="1" applyBorder="1" applyAlignment="1">
      <alignment horizontal="left" vertical="center" wrapText="1"/>
    </xf>
    <xf numFmtId="176" fontId="9" fillId="0" borderId="1" xfId="0" applyFont="1" applyBorder="1" applyAlignment="1">
      <alignment horizontal="left" vertical="center" wrapText="1"/>
    </xf>
    <xf numFmtId="176" fontId="5" fillId="0" borderId="1" xfId="0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17" fillId="7" borderId="3" xfId="0" applyFont="1" applyFill="1" applyBorder="1" applyAlignment="1">
      <alignment horizontal="center" vertical="center" wrapText="1"/>
    </xf>
    <xf numFmtId="176" fontId="17" fillId="7" borderId="4" xfId="0" applyFont="1" applyFill="1" applyBorder="1" applyAlignment="1">
      <alignment horizontal="center" vertical="center" wrapText="1"/>
    </xf>
    <xf numFmtId="176" fontId="17" fillId="7" borderId="5" xfId="0" applyFont="1" applyFill="1" applyBorder="1" applyAlignment="1">
      <alignment horizontal="center" vertical="center" wrapText="1"/>
    </xf>
    <xf numFmtId="176" fontId="17" fillId="9" borderId="3" xfId="0" applyFont="1" applyFill="1" applyBorder="1" applyAlignment="1">
      <alignment horizontal="left" vertical="center" wrapText="1"/>
    </xf>
    <xf numFmtId="176" fontId="17" fillId="9" borderId="4" xfId="0" applyFont="1" applyFill="1" applyBorder="1" applyAlignment="1">
      <alignment horizontal="left" vertical="center" wrapText="1"/>
    </xf>
    <xf numFmtId="176" fontId="17" fillId="9" borderId="5" xfId="0" applyFont="1" applyFill="1" applyBorder="1" applyAlignment="1">
      <alignment horizontal="left" vertical="center" wrapText="1"/>
    </xf>
    <xf numFmtId="176" fontId="21" fillId="10" borderId="1" xfId="0" applyFont="1" applyFill="1" applyBorder="1" applyAlignment="1">
      <alignment horizontal="center" vertical="center"/>
    </xf>
    <xf numFmtId="176" fontId="20" fillId="0" borderId="0" xfId="0" applyFont="1" applyAlignment="1">
      <alignment horizontal="center" vertical="center"/>
    </xf>
    <xf numFmtId="176" fontId="20" fillId="0" borderId="2" xfId="0" applyFont="1" applyBorder="1" applyAlignment="1">
      <alignment horizontal="center" vertical="center"/>
    </xf>
    <xf numFmtId="176" fontId="16" fillId="0" borderId="1" xfId="0" applyFont="1" applyFill="1" applyBorder="1" applyAlignment="1">
      <alignment horizontal="center" vertical="center" wrapText="1"/>
    </xf>
    <xf numFmtId="176" fontId="17" fillId="7" borderId="1" xfId="0" applyFont="1" applyFill="1" applyBorder="1" applyAlignment="1">
      <alignment horizontal="center" vertical="center" wrapText="1"/>
    </xf>
    <xf numFmtId="176" fontId="13" fillId="9" borderId="4" xfId="0" applyFont="1" applyFill="1" applyBorder="1" applyAlignment="1">
      <alignment horizontal="left" vertical="center" wrapText="1"/>
    </xf>
    <xf numFmtId="176" fontId="13" fillId="9" borderId="5" xfId="0" applyFont="1" applyFill="1" applyBorder="1" applyAlignment="1">
      <alignment horizontal="left" vertical="center" wrapText="1"/>
    </xf>
    <xf numFmtId="176" fontId="14" fillId="0" borderId="6" xfId="0" applyFont="1" applyBorder="1" applyAlignment="1">
      <alignment horizontal="center" vertical="center" wrapText="1"/>
    </xf>
    <xf numFmtId="176" fontId="11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15</xdr:col>
          <xdr:colOff>450850</xdr:colOff>
          <xdr:row>61</xdr:row>
          <xdr:rowOff>171450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E949A33-80E5-42AE-B1DC-92B96EA70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0</xdr:row>
          <xdr:rowOff>0</xdr:rowOff>
        </xdr:from>
        <xdr:to>
          <xdr:col>15</xdr:col>
          <xdr:colOff>476250</xdr:colOff>
          <xdr:row>63</xdr:row>
          <xdr:rowOff>12700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1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zoomScaleNormal="100" workbookViewId="0">
      <selection activeCell="C12" sqref="C12"/>
    </sheetView>
  </sheetViews>
  <sheetFormatPr defaultRowHeight="14" x14ac:dyDescent="0.25"/>
  <cols>
    <col min="1" max="1" width="8.90625" style="51" customWidth="1"/>
    <col min="2" max="2" width="29" customWidth="1"/>
    <col min="3" max="3" width="56.453125" customWidth="1"/>
    <col min="4" max="4" width="22.453125" customWidth="1"/>
    <col min="5" max="5" width="15" customWidth="1"/>
    <col min="6" max="6" width="10.453125" customWidth="1"/>
    <col min="7" max="7" width="25.6328125" customWidth="1"/>
  </cols>
  <sheetData>
    <row r="1" spans="1:22" ht="21.75" customHeight="1" x14ac:dyDescent="0.25">
      <c r="A1" s="86" t="s">
        <v>175</v>
      </c>
      <c r="B1" s="86"/>
      <c r="C1" s="86"/>
      <c r="D1" s="86"/>
      <c r="E1" s="86"/>
      <c r="F1" s="86"/>
      <c r="G1" s="86"/>
      <c r="H1" s="62"/>
      <c r="I1" s="62"/>
      <c r="J1" s="62"/>
      <c r="K1" s="62"/>
      <c r="L1" s="62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28.5" customHeight="1" x14ac:dyDescent="0.25">
      <c r="A2" s="59" t="s">
        <v>125</v>
      </c>
      <c r="B2" s="87" t="s">
        <v>160</v>
      </c>
      <c r="C2" s="87"/>
      <c r="D2" s="87"/>
      <c r="E2" s="87"/>
      <c r="F2" s="87"/>
      <c r="G2" s="87"/>
      <c r="H2" s="63"/>
      <c r="I2" s="63"/>
      <c r="J2" s="63"/>
      <c r="K2" s="63"/>
      <c r="L2" s="63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x14ac:dyDescent="0.25">
      <c r="A3" s="59" t="s">
        <v>126</v>
      </c>
      <c r="B3" s="87" t="s">
        <v>162</v>
      </c>
      <c r="C3" s="87"/>
      <c r="D3" s="87"/>
      <c r="E3" s="87"/>
      <c r="F3" s="87"/>
      <c r="G3" s="87"/>
      <c r="H3" s="63"/>
      <c r="I3" s="63"/>
      <c r="J3" s="63"/>
      <c r="K3" s="63"/>
      <c r="L3" s="63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x14ac:dyDescent="0.25">
      <c r="A4" s="59" t="s">
        <v>127</v>
      </c>
      <c r="B4" s="87" t="s">
        <v>128</v>
      </c>
      <c r="C4" s="87"/>
      <c r="D4" s="87"/>
      <c r="E4" s="87"/>
      <c r="F4" s="87"/>
      <c r="G4" s="87"/>
      <c r="H4" s="63"/>
      <c r="I4" s="63"/>
      <c r="J4" s="63"/>
      <c r="K4" s="63"/>
      <c r="L4" s="63"/>
      <c r="M4" s="61"/>
      <c r="N4" s="61"/>
      <c r="O4" s="61"/>
      <c r="P4" s="61"/>
      <c r="Q4" s="61"/>
      <c r="R4" s="61"/>
      <c r="S4" s="61"/>
      <c r="T4" s="61"/>
      <c r="U4" s="61"/>
      <c r="V4" s="61"/>
    </row>
    <row r="5" spans="1:22" x14ac:dyDescent="0.25">
      <c r="A5" s="59" t="s">
        <v>129</v>
      </c>
      <c r="B5" s="87" t="s">
        <v>130</v>
      </c>
      <c r="C5" s="87"/>
      <c r="D5" s="87"/>
      <c r="E5" s="87"/>
      <c r="F5" s="87"/>
      <c r="G5" s="87"/>
      <c r="H5" s="63"/>
      <c r="I5" s="63"/>
      <c r="J5" s="63"/>
      <c r="K5" s="63"/>
      <c r="L5" s="63"/>
      <c r="M5" s="61"/>
      <c r="N5" s="61"/>
      <c r="O5" s="61"/>
      <c r="P5" s="61"/>
      <c r="Q5" s="61"/>
      <c r="R5" s="61"/>
      <c r="S5" s="61"/>
      <c r="T5" s="61"/>
      <c r="U5" s="61"/>
      <c r="V5" s="61"/>
    </row>
    <row r="6" spans="1:22" x14ac:dyDescent="0.25">
      <c r="A6" s="59" t="s">
        <v>131</v>
      </c>
      <c r="B6" s="87" t="s">
        <v>132</v>
      </c>
      <c r="C6" s="87"/>
      <c r="D6" s="87"/>
      <c r="E6" s="87"/>
      <c r="F6" s="87"/>
      <c r="G6" s="87"/>
      <c r="H6" s="63"/>
      <c r="I6" s="63"/>
      <c r="J6" s="63"/>
      <c r="K6" s="63"/>
      <c r="L6" s="63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spans="1:22" x14ac:dyDescent="0.25">
      <c r="A7" s="73"/>
      <c r="B7" s="74"/>
      <c r="C7" s="74"/>
      <c r="D7" s="74"/>
      <c r="E7" s="74"/>
      <c r="F7" s="74"/>
      <c r="G7" s="74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</row>
    <row r="8" spans="1:22" ht="14.5" x14ac:dyDescent="0.25">
      <c r="A8" s="58" t="s">
        <v>78</v>
      </c>
      <c r="B8" s="54" t="s">
        <v>133</v>
      </c>
      <c r="C8" s="57" t="s">
        <v>134</v>
      </c>
      <c r="D8" s="54" t="s">
        <v>135</v>
      </c>
      <c r="E8" s="55" t="s">
        <v>136</v>
      </c>
      <c r="F8" s="54" t="s">
        <v>137</v>
      </c>
      <c r="G8" s="55" t="s">
        <v>16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</row>
    <row r="9" spans="1:22" ht="25.5" customHeight="1" x14ac:dyDescent="0.25">
      <c r="A9" s="89">
        <v>1</v>
      </c>
      <c r="B9" s="90" t="s">
        <v>143</v>
      </c>
      <c r="C9" s="69" t="s">
        <v>139</v>
      </c>
      <c r="D9" s="72" t="s">
        <v>132</v>
      </c>
      <c r="E9" s="56">
        <v>43343</v>
      </c>
      <c r="F9" s="85" t="s">
        <v>172</v>
      </c>
      <c r="G9" s="72" t="s">
        <v>163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 spans="1:22" ht="25.5" customHeight="1" x14ac:dyDescent="0.25">
      <c r="A10" s="89"/>
      <c r="B10" s="90"/>
      <c r="C10" s="69" t="s">
        <v>140</v>
      </c>
      <c r="D10" s="72" t="s">
        <v>132</v>
      </c>
      <c r="E10" s="56">
        <v>43343</v>
      </c>
      <c r="F10" s="85" t="s">
        <v>173</v>
      </c>
      <c r="G10" s="72" t="s">
        <v>164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 spans="1:22" ht="54.75" customHeight="1" x14ac:dyDescent="0.25">
      <c r="A11" s="89"/>
      <c r="B11" s="90"/>
      <c r="C11" s="64" t="s">
        <v>141</v>
      </c>
      <c r="D11" s="88" t="s">
        <v>138</v>
      </c>
      <c r="E11" s="91" t="s">
        <v>147</v>
      </c>
      <c r="F11" s="92" t="s">
        <v>148</v>
      </c>
      <c r="G11" s="9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spans="1:22" s="53" customFormat="1" ht="36" customHeight="1" x14ac:dyDescent="0.25">
      <c r="A12" s="89"/>
      <c r="B12" s="90"/>
      <c r="C12" s="64" t="s">
        <v>142</v>
      </c>
      <c r="D12" s="88"/>
      <c r="E12" s="91"/>
      <c r="F12" s="92"/>
      <c r="G12" s="93"/>
    </row>
    <row r="13" spans="1:22" s="53" customFormat="1" ht="90.75" customHeight="1" x14ac:dyDescent="0.25">
      <c r="A13" s="68">
        <v>2</v>
      </c>
      <c r="B13" s="65" t="s">
        <v>144</v>
      </c>
      <c r="C13" s="64" t="s">
        <v>145</v>
      </c>
      <c r="D13" s="67" t="s">
        <v>146</v>
      </c>
      <c r="E13" s="66" t="s">
        <v>147</v>
      </c>
      <c r="F13" s="71" t="s">
        <v>148</v>
      </c>
      <c r="G13" s="72"/>
    </row>
    <row r="14" spans="1:22" ht="29" x14ac:dyDescent="0.25">
      <c r="A14" s="68">
        <v>3</v>
      </c>
      <c r="B14" s="69" t="s">
        <v>150</v>
      </c>
      <c r="C14" s="64" t="s">
        <v>151</v>
      </c>
      <c r="D14" s="71" t="s">
        <v>149</v>
      </c>
      <c r="E14" s="70">
        <v>43346</v>
      </c>
      <c r="F14" s="85" t="s">
        <v>174</v>
      </c>
      <c r="G14" s="7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</sheetData>
  <mergeCells count="12">
    <mergeCell ref="B6:G6"/>
    <mergeCell ref="D11:D12"/>
    <mergeCell ref="A9:A12"/>
    <mergeCell ref="B9:B12"/>
    <mergeCell ref="E11:E12"/>
    <mergeCell ref="F11:F12"/>
    <mergeCell ref="G11:G12"/>
    <mergeCell ref="A1:G1"/>
    <mergeCell ref="B2:G2"/>
    <mergeCell ref="B3:G3"/>
    <mergeCell ref="B4:G4"/>
    <mergeCell ref="B5:G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E06E-EDA3-4132-A267-A1021EEB9BC9}">
  <dimension ref="A1"/>
  <sheetViews>
    <sheetView tabSelected="1" topLeftCell="A7" workbookViewId="0"/>
  </sheetViews>
  <sheetFormatPr defaultRowHeight="14" x14ac:dyDescent="0.25"/>
  <sheetData/>
  <phoneticPr fontId="2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15</xdr:col>
                <xdr:colOff>450850</xdr:colOff>
                <xdr:row>61</xdr:row>
                <xdr:rowOff>171450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34" zoomScaleNormal="100" workbookViewId="0">
      <selection activeCell="C12" sqref="C12"/>
    </sheetView>
  </sheetViews>
  <sheetFormatPr defaultRowHeight="14" x14ac:dyDescent="0.25"/>
  <sheetData/>
  <phoneticPr fontId="2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2054" r:id="rId3">
          <objectPr defaultSize="0" autoPict="0" r:id="rId4">
            <anchor moveWithCells="1">
              <from>
                <xdr:col>0</xdr:col>
                <xdr:colOff>31750</xdr:colOff>
                <xdr:row>0</xdr:row>
                <xdr:rowOff>0</xdr:rowOff>
              </from>
              <to>
                <xdr:col>15</xdr:col>
                <xdr:colOff>476250</xdr:colOff>
                <xdr:row>63</xdr:row>
                <xdr:rowOff>12700</xdr:rowOff>
              </to>
            </anchor>
          </objectPr>
        </oleObject>
      </mc:Choice>
      <mc:Fallback>
        <oleObject progId="Visio.Drawing.15" shapeId="2054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D14" sqref="D14"/>
    </sheetView>
  </sheetViews>
  <sheetFormatPr defaultColWidth="9" defaultRowHeight="16.5" x14ac:dyDescent="0.25"/>
  <cols>
    <col min="1" max="1" width="27" style="75" customWidth="1"/>
    <col min="2" max="2" width="27.7265625" style="75" customWidth="1"/>
    <col min="3" max="3" width="29.453125" style="75" customWidth="1"/>
    <col min="4" max="4" width="32.7265625" style="75" bestFit="1" customWidth="1"/>
    <col min="5" max="5" width="26.90625" style="75" customWidth="1"/>
    <col min="6" max="6" width="13.08984375" style="75" customWidth="1"/>
    <col min="7" max="7" width="12.36328125" style="75" customWidth="1"/>
    <col min="8" max="16384" width="9" style="75"/>
  </cols>
  <sheetData>
    <row r="1" spans="1:7" ht="26.25" customHeight="1" x14ac:dyDescent="0.25">
      <c r="A1" s="101" t="s">
        <v>155</v>
      </c>
      <c r="B1" s="101"/>
      <c r="C1" s="101"/>
      <c r="D1" s="101"/>
      <c r="E1" s="101"/>
      <c r="F1" s="101"/>
    </row>
    <row r="2" spans="1:7" ht="26.25" customHeight="1" x14ac:dyDescent="0.25">
      <c r="A2" s="102"/>
      <c r="B2" s="102"/>
      <c r="C2" s="102"/>
      <c r="D2" s="102"/>
      <c r="E2" s="102"/>
      <c r="F2" s="102"/>
    </row>
    <row r="3" spans="1:7" ht="43" x14ac:dyDescent="0.25">
      <c r="A3" s="82" t="s">
        <v>171</v>
      </c>
      <c r="B3" s="76"/>
      <c r="C3" s="82" t="s">
        <v>123</v>
      </c>
      <c r="D3" s="76" t="s">
        <v>124</v>
      </c>
      <c r="E3" s="100" t="s">
        <v>154</v>
      </c>
      <c r="F3" s="100" t="str">
        <f>IF(B7="不满足","是",IF(B7&lt;&gt;"满足","Error",IF(D7="否",IF(D8="不满足","是",IF(D8&lt;&gt;"满足","Error","否")),IF(D7&lt;&gt;"是","Error",IF(B8="不通过","是",IF(B8&lt;&gt;"通过","Error",IF(D8="不满足","是",IF(D8&lt;&gt;"满足","Error","否"))))))))</f>
        <v>否</v>
      </c>
      <c r="G3" s="107" t="s">
        <v>161</v>
      </c>
    </row>
    <row r="4" spans="1:7" ht="22.5" x14ac:dyDescent="0.25">
      <c r="A4" s="83" t="s">
        <v>152</v>
      </c>
      <c r="B4" s="76"/>
      <c r="C4" s="83" t="s">
        <v>153</v>
      </c>
      <c r="D4" s="76"/>
      <c r="E4" s="100"/>
      <c r="F4" s="100"/>
      <c r="G4" s="108"/>
    </row>
    <row r="5" spans="1:7" ht="28.5" customHeight="1" x14ac:dyDescent="0.25">
      <c r="A5" s="84" t="s">
        <v>170</v>
      </c>
      <c r="B5" s="105" t="s">
        <v>165</v>
      </c>
      <c r="C5" s="105"/>
      <c r="D5" s="105"/>
      <c r="E5" s="105"/>
      <c r="F5" s="106"/>
      <c r="G5" s="108"/>
    </row>
    <row r="6" spans="1:7" ht="21" customHeight="1" x14ac:dyDescent="0.25">
      <c r="A6" s="103"/>
      <c r="B6" s="103"/>
      <c r="C6" s="103"/>
      <c r="D6" s="103"/>
      <c r="E6" s="103"/>
      <c r="F6" s="103"/>
    </row>
    <row r="7" spans="1:7" ht="25.5" customHeight="1" x14ac:dyDescent="0.25">
      <c r="A7" s="78" t="s">
        <v>156</v>
      </c>
      <c r="B7" s="79" t="s">
        <v>178</v>
      </c>
      <c r="C7" s="78" t="s">
        <v>157</v>
      </c>
      <c r="D7" s="104" t="s">
        <v>168</v>
      </c>
      <c r="E7" s="104"/>
      <c r="F7" s="104"/>
    </row>
    <row r="8" spans="1:7" ht="33" x14ac:dyDescent="0.25">
      <c r="A8" s="77" t="s">
        <v>158</v>
      </c>
      <c r="B8" s="79" t="s">
        <v>169</v>
      </c>
      <c r="C8" s="77" t="s">
        <v>159</v>
      </c>
      <c r="D8" s="94" t="s">
        <v>167</v>
      </c>
      <c r="E8" s="95"/>
      <c r="F8" s="96"/>
    </row>
    <row r="9" spans="1:7" ht="28.5" customHeight="1" x14ac:dyDescent="0.25">
      <c r="A9" s="81" t="s">
        <v>16</v>
      </c>
      <c r="B9" s="97" t="s">
        <v>166</v>
      </c>
      <c r="C9" s="98"/>
      <c r="D9" s="98"/>
      <c r="E9" s="98"/>
      <c r="F9" s="99"/>
    </row>
    <row r="10" spans="1:7" ht="21" customHeight="1" x14ac:dyDescent="0.25">
      <c r="A10" s="80"/>
    </row>
    <row r="11" spans="1:7" x14ac:dyDescent="0.25">
      <c r="A11" s="80"/>
    </row>
  </sheetData>
  <mergeCells count="9">
    <mergeCell ref="G3:G5"/>
    <mergeCell ref="D8:F8"/>
    <mergeCell ref="B9:F9"/>
    <mergeCell ref="E3:E4"/>
    <mergeCell ref="F3:F4"/>
    <mergeCell ref="A1:F2"/>
    <mergeCell ref="A6:F6"/>
    <mergeCell ref="D7:F7"/>
    <mergeCell ref="B5:F5"/>
  </mergeCells>
  <phoneticPr fontId="2" type="noConversion"/>
  <dataValidations count="4">
    <dataValidation type="list" allowBlank="1" showInputMessage="1" showErrorMessage="1" sqref="B7" xr:uid="{00000000-0002-0000-0200-000000000000}">
      <formula1>" ,满足,不满足"</formula1>
    </dataValidation>
    <dataValidation type="list" allowBlank="1" showInputMessage="1" showErrorMessage="1" sqref="D7:F7" xr:uid="{00000000-0002-0000-0200-000001000000}">
      <formula1>"是,否"</formula1>
    </dataValidation>
    <dataValidation type="list" allowBlank="1" showInputMessage="1" showErrorMessage="1" sqref="B8" xr:uid="{00000000-0002-0000-0200-000002000000}">
      <formula1>"通过,不通过"</formula1>
    </dataValidation>
    <dataValidation type="list" allowBlank="1" showInputMessage="1" showErrorMessage="1" sqref="D8:F8" xr:uid="{00000000-0002-0000-0200-000003000000}">
      <formula1>"满足,不满足"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zoomScaleNormal="100" workbookViewId="0">
      <selection activeCell="F10" sqref="F10"/>
    </sheetView>
  </sheetViews>
  <sheetFormatPr defaultColWidth="9" defaultRowHeight="14.5" x14ac:dyDescent="0.25"/>
  <cols>
    <col min="1" max="1" width="1" style="33" customWidth="1"/>
    <col min="2" max="2" width="5.7265625" style="34" customWidth="1"/>
    <col min="3" max="3" width="12.453125" style="35" customWidth="1"/>
    <col min="4" max="4" width="10" style="34" customWidth="1"/>
    <col min="5" max="5" width="10.6328125" style="34" customWidth="1"/>
    <col min="6" max="6" width="43.36328125" style="35" customWidth="1"/>
    <col min="7" max="7" width="20" style="34" customWidth="1"/>
    <col min="8" max="8" width="7.7265625" style="34" bestFit="1" customWidth="1"/>
    <col min="9" max="9" width="37.453125" style="35" customWidth="1"/>
    <col min="10" max="10" width="57.453125" style="41" customWidth="1"/>
    <col min="11" max="11" width="31.453125" style="34" bestFit="1" customWidth="1"/>
    <col min="12" max="12" width="16.90625" style="34" customWidth="1"/>
    <col min="13" max="13" width="13.26953125" style="34" customWidth="1"/>
    <col min="14" max="14" width="20.36328125" style="46" bestFit="1" customWidth="1"/>
    <col min="15" max="15" width="19" style="34" customWidth="1"/>
    <col min="16" max="16384" width="9" style="35"/>
  </cols>
  <sheetData>
    <row r="1" spans="1:15" ht="5.25" customHeight="1" x14ac:dyDescent="0.25"/>
    <row r="2" spans="1:15" s="37" customFormat="1" ht="27.75" customHeight="1" x14ac:dyDescent="0.25">
      <c r="A2" s="36"/>
      <c r="B2" s="40" t="s">
        <v>78</v>
      </c>
      <c r="C2" s="40" t="s">
        <v>6</v>
      </c>
      <c r="D2" s="40" t="s">
        <v>7</v>
      </c>
      <c r="E2" s="40" t="s">
        <v>8</v>
      </c>
      <c r="F2" s="40" t="s">
        <v>9</v>
      </c>
      <c r="G2" s="40" t="s">
        <v>10</v>
      </c>
      <c r="H2" s="40" t="s">
        <v>11</v>
      </c>
      <c r="I2" s="40" t="s">
        <v>12</v>
      </c>
      <c r="J2" s="40" t="s">
        <v>13</v>
      </c>
      <c r="K2" s="40" t="s">
        <v>14</v>
      </c>
      <c r="L2" s="40" t="s">
        <v>15</v>
      </c>
      <c r="M2" s="40" t="s">
        <v>16</v>
      </c>
      <c r="N2" s="40" t="s">
        <v>17</v>
      </c>
      <c r="O2" s="40" t="s">
        <v>18</v>
      </c>
    </row>
    <row r="3" spans="1:15" s="38" customFormat="1" ht="29" x14ac:dyDescent="0.25">
      <c r="A3" s="33"/>
      <c r="B3" s="10">
        <v>1</v>
      </c>
      <c r="C3" s="9" t="s">
        <v>19</v>
      </c>
      <c r="D3" s="10" t="s">
        <v>20</v>
      </c>
      <c r="E3" s="11">
        <v>43306</v>
      </c>
      <c r="F3" s="12" t="s">
        <v>21</v>
      </c>
      <c r="G3" s="13" t="s">
        <v>22</v>
      </c>
      <c r="H3" s="14" t="s">
        <v>117</v>
      </c>
      <c r="I3" s="15" t="s">
        <v>23</v>
      </c>
      <c r="J3" s="47" t="s">
        <v>24</v>
      </c>
      <c r="K3" s="14" t="s">
        <v>79</v>
      </c>
      <c r="L3" s="13" t="s">
        <v>1</v>
      </c>
      <c r="M3" s="16" t="s">
        <v>25</v>
      </c>
      <c r="N3" s="42" t="s">
        <v>80</v>
      </c>
      <c r="O3" s="10"/>
    </row>
    <row r="4" spans="1:15" s="38" customFormat="1" x14ac:dyDescent="0.25">
      <c r="A4" s="33"/>
      <c r="B4" s="10">
        <v>2</v>
      </c>
      <c r="C4" s="9" t="s">
        <v>27</v>
      </c>
      <c r="D4" s="10" t="s">
        <v>28</v>
      </c>
      <c r="E4" s="11">
        <v>43294</v>
      </c>
      <c r="F4" s="12" t="s">
        <v>29</v>
      </c>
      <c r="G4" s="13" t="s">
        <v>30</v>
      </c>
      <c r="H4" s="14" t="s">
        <v>81</v>
      </c>
      <c r="I4" s="15" t="s">
        <v>31</v>
      </c>
      <c r="J4" s="47" t="s">
        <v>32</v>
      </c>
      <c r="K4" s="14" t="s">
        <v>82</v>
      </c>
      <c r="L4" s="13" t="s">
        <v>1</v>
      </c>
      <c r="M4" s="16" t="s">
        <v>25</v>
      </c>
      <c r="N4" s="43" t="s">
        <v>83</v>
      </c>
      <c r="O4" s="10"/>
    </row>
    <row r="5" spans="1:15" s="39" customFormat="1" ht="58" x14ac:dyDescent="0.25">
      <c r="A5" s="33"/>
      <c r="B5" s="18">
        <v>3</v>
      </c>
      <c r="C5" s="17" t="s">
        <v>27</v>
      </c>
      <c r="D5" s="18" t="s">
        <v>33</v>
      </c>
      <c r="E5" s="19">
        <v>43259</v>
      </c>
      <c r="F5" s="20" t="s">
        <v>34</v>
      </c>
      <c r="G5" s="21" t="s">
        <v>35</v>
      </c>
      <c r="H5" s="22" t="s">
        <v>81</v>
      </c>
      <c r="I5" s="23" t="s">
        <v>36</v>
      </c>
      <c r="J5" s="48" t="s">
        <v>84</v>
      </c>
      <c r="K5" s="22" t="s">
        <v>82</v>
      </c>
      <c r="L5" s="21" t="s">
        <v>37</v>
      </c>
      <c r="M5" s="24" t="s">
        <v>25</v>
      </c>
      <c r="N5" s="44" t="s">
        <v>85</v>
      </c>
      <c r="O5" s="18"/>
    </row>
    <row r="6" spans="1:15" s="38" customFormat="1" ht="29" x14ac:dyDescent="0.25">
      <c r="A6" s="33"/>
      <c r="B6" s="10">
        <v>4</v>
      </c>
      <c r="C6" s="9" t="s">
        <v>38</v>
      </c>
      <c r="D6" s="10" t="s">
        <v>28</v>
      </c>
      <c r="E6" s="11">
        <v>43305</v>
      </c>
      <c r="F6" s="12" t="s">
        <v>39</v>
      </c>
      <c r="G6" s="13" t="s">
        <v>40</v>
      </c>
      <c r="H6" s="14" t="s">
        <v>41</v>
      </c>
      <c r="I6" s="15" t="s">
        <v>42</v>
      </c>
      <c r="J6" s="47" t="s">
        <v>43</v>
      </c>
      <c r="K6" s="13" t="s">
        <v>44</v>
      </c>
      <c r="L6" s="13" t="s">
        <v>1</v>
      </c>
      <c r="M6" s="16" t="s">
        <v>25</v>
      </c>
      <c r="N6" s="43" t="s">
        <v>83</v>
      </c>
      <c r="O6" s="10"/>
    </row>
    <row r="7" spans="1:15" s="38" customFormat="1" ht="87" x14ac:dyDescent="0.25">
      <c r="A7" s="33"/>
      <c r="B7" s="10">
        <v>5</v>
      </c>
      <c r="C7" s="9" t="s">
        <v>45</v>
      </c>
      <c r="D7" s="10" t="s">
        <v>46</v>
      </c>
      <c r="E7" s="11">
        <v>43298</v>
      </c>
      <c r="F7" s="12" t="s">
        <v>47</v>
      </c>
      <c r="G7" s="13" t="s">
        <v>22</v>
      </c>
      <c r="H7" s="14" t="s">
        <v>5</v>
      </c>
      <c r="I7" s="15" t="s">
        <v>48</v>
      </c>
      <c r="J7" s="47" t="s">
        <v>49</v>
      </c>
      <c r="K7" s="14" t="s">
        <v>50</v>
      </c>
      <c r="L7" s="13" t="s">
        <v>1</v>
      </c>
      <c r="M7" s="16" t="s">
        <v>25</v>
      </c>
      <c r="N7" s="42" t="s">
        <v>51</v>
      </c>
      <c r="O7" s="10"/>
    </row>
    <row r="8" spans="1:15" s="38" customFormat="1" ht="29" x14ac:dyDescent="0.25">
      <c r="A8" s="33"/>
      <c r="B8" s="10">
        <v>6</v>
      </c>
      <c r="C8" s="9" t="s">
        <v>52</v>
      </c>
      <c r="D8" s="10" t="s">
        <v>53</v>
      </c>
      <c r="E8" s="11">
        <v>43301</v>
      </c>
      <c r="F8" s="12" t="s">
        <v>54</v>
      </c>
      <c r="G8" s="13" t="s">
        <v>22</v>
      </c>
      <c r="H8" s="14" t="s">
        <v>5</v>
      </c>
      <c r="I8" s="15" t="s">
        <v>55</v>
      </c>
      <c r="J8" s="47" t="s">
        <v>56</v>
      </c>
      <c r="K8" s="14" t="s">
        <v>57</v>
      </c>
      <c r="L8" s="13" t="s">
        <v>1</v>
      </c>
      <c r="M8" s="16" t="s">
        <v>25</v>
      </c>
      <c r="N8" s="43" t="s">
        <v>86</v>
      </c>
      <c r="O8" s="10"/>
    </row>
    <row r="9" spans="1:15" ht="29" x14ac:dyDescent="0.25">
      <c r="B9" s="2">
        <v>7</v>
      </c>
      <c r="C9" s="1" t="s">
        <v>27</v>
      </c>
      <c r="D9" s="2" t="s">
        <v>33</v>
      </c>
      <c r="E9" s="3">
        <v>43284</v>
      </c>
      <c r="F9" s="4" t="s">
        <v>58</v>
      </c>
      <c r="G9" s="5" t="s">
        <v>22</v>
      </c>
      <c r="H9" s="6" t="s">
        <v>59</v>
      </c>
      <c r="I9" s="7" t="s">
        <v>60</v>
      </c>
      <c r="J9" s="49" t="s">
        <v>61</v>
      </c>
      <c r="K9" s="6" t="s">
        <v>62</v>
      </c>
      <c r="L9" s="5" t="s">
        <v>0</v>
      </c>
      <c r="M9" s="8" t="s">
        <v>25</v>
      </c>
      <c r="N9" s="45" t="s">
        <v>26</v>
      </c>
      <c r="O9" s="2"/>
    </row>
    <row r="10" spans="1:15" ht="72.5" x14ac:dyDescent="0.25">
      <c r="B10" s="2">
        <v>8</v>
      </c>
      <c r="C10" s="1" t="s">
        <v>27</v>
      </c>
      <c r="D10" s="2" t="s">
        <v>33</v>
      </c>
      <c r="E10" s="3">
        <v>43251</v>
      </c>
      <c r="F10" s="4" t="s">
        <v>63</v>
      </c>
      <c r="G10" s="5" t="s">
        <v>22</v>
      </c>
      <c r="H10" s="6" t="s">
        <v>118</v>
      </c>
      <c r="I10" s="7" t="s">
        <v>64</v>
      </c>
      <c r="J10" s="49" t="s">
        <v>87</v>
      </c>
      <c r="K10" s="6" t="s">
        <v>65</v>
      </c>
      <c r="L10" s="5" t="s">
        <v>0</v>
      </c>
      <c r="M10" s="8" t="s">
        <v>25</v>
      </c>
      <c r="N10" s="4" t="s">
        <v>0</v>
      </c>
      <c r="O10" s="2"/>
    </row>
    <row r="11" spans="1:15" s="33" customFormat="1" ht="43.5" x14ac:dyDescent="0.25">
      <c r="B11" s="26">
        <v>9</v>
      </c>
      <c r="C11" s="25" t="s">
        <v>66</v>
      </c>
      <c r="D11" s="26" t="s">
        <v>33</v>
      </c>
      <c r="E11" s="27">
        <v>43312</v>
      </c>
      <c r="F11" s="28" t="s">
        <v>67</v>
      </c>
      <c r="G11" s="29" t="s">
        <v>68</v>
      </c>
      <c r="H11" s="30" t="s">
        <v>119</v>
      </c>
      <c r="I11" s="31" t="s">
        <v>69</v>
      </c>
      <c r="J11" s="50" t="s">
        <v>70</v>
      </c>
      <c r="K11" s="30" t="s">
        <v>71</v>
      </c>
      <c r="L11" s="29" t="s">
        <v>0</v>
      </c>
      <c r="M11" s="32" t="s">
        <v>25</v>
      </c>
      <c r="N11" s="28" t="s">
        <v>26</v>
      </c>
      <c r="O11" s="26"/>
    </row>
    <row r="12" spans="1:15" s="33" customFormat="1" x14ac:dyDescent="0.25">
      <c r="B12" s="26">
        <v>10</v>
      </c>
      <c r="C12" s="25" t="s">
        <v>72</v>
      </c>
      <c r="D12" s="26" t="s">
        <v>73</v>
      </c>
      <c r="E12" s="27">
        <v>43304</v>
      </c>
      <c r="F12" s="28" t="s">
        <v>74</v>
      </c>
      <c r="G12" s="29" t="s">
        <v>22</v>
      </c>
      <c r="H12" s="30" t="s">
        <v>4</v>
      </c>
      <c r="I12" s="31" t="s">
        <v>75</v>
      </c>
      <c r="J12" s="50" t="s">
        <v>76</v>
      </c>
      <c r="K12" s="30" t="s">
        <v>77</v>
      </c>
      <c r="L12" s="29" t="s">
        <v>0</v>
      </c>
      <c r="M12" s="32" t="s">
        <v>25</v>
      </c>
      <c r="N12" s="28" t="s">
        <v>26</v>
      </c>
      <c r="O12" s="26"/>
    </row>
    <row r="13" spans="1:15" ht="43.5" x14ac:dyDescent="0.25">
      <c r="B13" s="2">
        <v>11</v>
      </c>
      <c r="C13" s="1" t="s">
        <v>88</v>
      </c>
      <c r="D13" s="2" t="s">
        <v>20</v>
      </c>
      <c r="E13" s="3">
        <v>43315</v>
      </c>
      <c r="F13" s="4" t="s">
        <v>89</v>
      </c>
      <c r="G13" s="5" t="s">
        <v>90</v>
      </c>
      <c r="H13" s="6" t="s">
        <v>2</v>
      </c>
      <c r="I13" s="7" t="s">
        <v>91</v>
      </c>
      <c r="J13" s="49" t="s">
        <v>92</v>
      </c>
      <c r="K13" s="6" t="s">
        <v>93</v>
      </c>
      <c r="L13" s="5" t="s">
        <v>94</v>
      </c>
      <c r="M13" s="8" t="s">
        <v>95</v>
      </c>
      <c r="N13" s="1" t="s">
        <v>96</v>
      </c>
      <c r="O13" s="2"/>
    </row>
    <row r="14" spans="1:15" ht="58" x14ac:dyDescent="0.25">
      <c r="B14" s="2">
        <v>12</v>
      </c>
      <c r="C14" s="1" t="s">
        <v>97</v>
      </c>
      <c r="D14" s="2" t="s">
        <v>33</v>
      </c>
      <c r="E14" s="3">
        <v>43327</v>
      </c>
      <c r="F14" s="4" t="s">
        <v>98</v>
      </c>
      <c r="G14" s="5" t="s">
        <v>99</v>
      </c>
      <c r="H14" s="6" t="s">
        <v>120</v>
      </c>
      <c r="I14" s="7" t="s">
        <v>100</v>
      </c>
      <c r="J14" s="49"/>
      <c r="K14" s="6"/>
      <c r="L14" s="5" t="s">
        <v>0</v>
      </c>
      <c r="M14" s="32" t="s">
        <v>25</v>
      </c>
      <c r="N14" s="4" t="s">
        <v>0</v>
      </c>
      <c r="O14" s="2"/>
    </row>
    <row r="15" spans="1:15" ht="43.5" x14ac:dyDescent="0.25">
      <c r="B15" s="2">
        <v>13</v>
      </c>
      <c r="C15" s="1" t="s">
        <v>97</v>
      </c>
      <c r="D15" s="2" t="s">
        <v>33</v>
      </c>
      <c r="E15" s="3">
        <v>43318</v>
      </c>
      <c r="F15" s="4" t="s">
        <v>101</v>
      </c>
      <c r="G15" s="5"/>
      <c r="H15" s="6" t="s">
        <v>119</v>
      </c>
      <c r="I15" s="7" t="s">
        <v>102</v>
      </c>
      <c r="J15" s="49" t="s">
        <v>103</v>
      </c>
      <c r="K15" s="6"/>
      <c r="L15" s="5" t="s">
        <v>0</v>
      </c>
      <c r="M15" s="32" t="s">
        <v>25</v>
      </c>
      <c r="N15" s="4" t="s">
        <v>0</v>
      </c>
      <c r="O15" s="2"/>
    </row>
    <row r="16" spans="1:15" ht="29" x14ac:dyDescent="0.25">
      <c r="B16" s="2">
        <v>14</v>
      </c>
      <c r="C16" s="1" t="s">
        <v>104</v>
      </c>
      <c r="D16" s="2" t="s">
        <v>33</v>
      </c>
      <c r="E16" s="3">
        <v>43320</v>
      </c>
      <c r="F16" s="4" t="s">
        <v>105</v>
      </c>
      <c r="G16" s="5" t="s">
        <v>22</v>
      </c>
      <c r="H16" s="6" t="s">
        <v>3</v>
      </c>
      <c r="I16" s="7" t="s">
        <v>106</v>
      </c>
      <c r="J16" s="49" t="s">
        <v>107</v>
      </c>
      <c r="K16" s="6" t="s">
        <v>108</v>
      </c>
      <c r="L16" s="5" t="s">
        <v>0</v>
      </c>
      <c r="M16" s="8" t="s">
        <v>25</v>
      </c>
      <c r="N16" s="4" t="s">
        <v>0</v>
      </c>
      <c r="O16" s="2"/>
    </row>
    <row r="17" spans="2:15" s="35" customFormat="1" ht="29" x14ac:dyDescent="0.25">
      <c r="B17" s="2">
        <v>15</v>
      </c>
      <c r="C17" s="1" t="s">
        <v>104</v>
      </c>
      <c r="D17" s="2" t="s">
        <v>33</v>
      </c>
      <c r="E17" s="3">
        <v>43327</v>
      </c>
      <c r="F17" s="4" t="s">
        <v>109</v>
      </c>
      <c r="G17" s="5" t="s">
        <v>22</v>
      </c>
      <c r="H17" s="6" t="s">
        <v>121</v>
      </c>
      <c r="I17" s="7" t="s">
        <v>110</v>
      </c>
      <c r="J17" s="49" t="s">
        <v>111</v>
      </c>
      <c r="K17" s="6" t="s">
        <v>108</v>
      </c>
      <c r="L17" s="5" t="s">
        <v>0</v>
      </c>
      <c r="M17" s="8" t="s">
        <v>25</v>
      </c>
      <c r="N17" s="4" t="s">
        <v>0</v>
      </c>
      <c r="O17" s="2"/>
    </row>
    <row r="18" spans="2:15" s="35" customFormat="1" ht="58" x14ac:dyDescent="0.25">
      <c r="B18" s="2">
        <v>16</v>
      </c>
      <c r="C18" s="1" t="s">
        <v>112</v>
      </c>
      <c r="D18" s="1" t="s">
        <v>33</v>
      </c>
      <c r="E18" s="3">
        <v>43305</v>
      </c>
      <c r="F18" s="1" t="s">
        <v>113</v>
      </c>
      <c r="G18" s="1" t="s">
        <v>22</v>
      </c>
      <c r="H18" s="6" t="s">
        <v>122</v>
      </c>
      <c r="I18" s="7" t="s">
        <v>114</v>
      </c>
      <c r="J18" s="49" t="s">
        <v>115</v>
      </c>
      <c r="K18" s="2" t="s">
        <v>116</v>
      </c>
      <c r="L18" s="1" t="s">
        <v>0</v>
      </c>
      <c r="M18" s="2" t="s">
        <v>25</v>
      </c>
      <c r="N18" s="1" t="s">
        <v>26</v>
      </c>
      <c r="O18" s="1"/>
    </row>
  </sheetData>
  <autoFilter ref="A2:O18" xr:uid="{00000000-0009-0000-0000-000003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G21" sqref="G21"/>
    </sheetView>
  </sheetViews>
  <sheetFormatPr defaultRowHeight="14" x14ac:dyDescent="0.25"/>
  <sheetData>
    <row r="1" spans="1:1" x14ac:dyDescent="0.25">
      <c r="A1" t="s">
        <v>176</v>
      </c>
    </row>
    <row r="2" spans="1:1" x14ac:dyDescent="0.25">
      <c r="A2" t="s">
        <v>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会议纪要</vt:lpstr>
      <vt:lpstr>对比图</vt:lpstr>
      <vt:lpstr>ODF订单软件评审指导流程</vt:lpstr>
      <vt:lpstr>ODF订单软件评审执行表单</vt:lpstr>
      <vt:lpstr>生产售后异常问题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龙彩云</dc:creator>
  <cp:lastModifiedBy>唐煜辉</cp:lastModifiedBy>
  <dcterms:created xsi:type="dcterms:W3CDTF">2018-08-20T08:55:06Z</dcterms:created>
  <dcterms:modified xsi:type="dcterms:W3CDTF">2018-09-04T02:15:30Z</dcterms:modified>
</cp:coreProperties>
</file>