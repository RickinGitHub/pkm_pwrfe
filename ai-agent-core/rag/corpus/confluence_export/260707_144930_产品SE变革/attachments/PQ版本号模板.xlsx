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33CB62DD-691B-4053-A030-F5CA59130D5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T51M 8K&amp;4K" sheetId="7" r:id="rId1"/>
    <sheet name="51M-大PQ" sheetId="1" r:id="rId2"/>
    <sheet name="51M小PQ" sheetId="4" r:id="rId3"/>
    <sheet name="H5X-大PQ" sheetId="2" r:id="rId4"/>
    <sheet name="H5X-小PQ" sheetId="6" r:id="rId5"/>
  </sheets>
  <calcPr calcId="191029"/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C5" i="7"/>
  <c r="C4" i="7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" authorId="0" shapeId="0" xr:uid="{52A3726F-3144-44D8-8926-C454553873B5}">
      <text>
        <r>
          <rPr>
            <b/>
            <sz val="9"/>
            <color indexed="81"/>
            <rFont val="宋体"/>
            <family val="3"/>
            <charset val="134"/>
          </rPr>
          <t>PQ版本号自动从后面的51M-大PQ/51M小PQ/H5X-大PQ/H5X-小PQ中获取出来的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2" authorId="0" shapeId="0" xr:uid="{7ED81CDD-95F4-4198-A19F-58607F4EF645}">
      <text>
        <r>
          <rPr>
            <b/>
            <sz val="9"/>
            <color indexed="81"/>
            <rFont val="宋体"/>
            <family val="3"/>
            <charset val="134"/>
          </rPr>
          <t>自动提取后面表格sheet页51M-大PQ；51M小PQ；H5X-PQ；H5X-小PQ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E2" authorId="0" shapeId="0" xr:uid="{CDB7BE36-5FD4-4DFF-8256-CB0F7901C570}">
      <text>
        <r>
          <rPr>
            <sz val="9"/>
            <color indexed="81"/>
            <rFont val="宋体"/>
            <family val="3"/>
            <charset val="134"/>
          </rPr>
          <t>自动提取后面表格sheet页51M-大PQ；51M小PQ；H5X-PQ；H5X-小PQ</t>
        </r>
      </text>
    </comment>
    <comment ref="C10" authorId="0" shapeId="0" xr:uid="{882C43C9-445C-40BC-9EC6-D72DD8F44CA9}">
      <text>
        <r>
          <rPr>
            <b/>
            <sz val="9"/>
            <color indexed="81"/>
            <rFont val="宋体"/>
            <family val="3"/>
            <charset val="134"/>
          </rPr>
          <t>4K的PID的公式，从50Q637 开始，后续新增的，下拉公式即可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<sst xmlns="http://schemas.openxmlformats.org/spreadsheetml/2006/main" count="162" uniqueCount="117">
  <si>
    <t>2 修改DTV勾边问题</t>
  </si>
  <si>
    <t>3 black stretch参数按照RT51修改</t>
  </si>
  <si>
    <t>修改内容</t>
  </si>
  <si>
    <t>EU_ID_2_v1.0_20200303</t>
  </si>
  <si>
    <t>修改所有信源NR和sharpness</t>
  </si>
  <si>
    <t>EU_ID_2_v1.1_20200306</t>
  </si>
  <si>
    <t>修改sharpness/SNR</t>
  </si>
  <si>
    <t>EU_ID_2_v1.2_20200318</t>
  </si>
  <si>
    <t>1 DCC OFF</t>
  </si>
  <si>
    <t>4 修改AV清晰度，对应mantis0306452</t>
  </si>
  <si>
    <t>EU_ID_2_v1.3_20200324</t>
  </si>
  <si>
    <t>修改大表中的decontour索引</t>
  </si>
  <si>
    <t>EU_ID_2_v1.4_20200409</t>
  </si>
  <si>
    <t>DTV_SD-DLTI/DTV-sharpness/DTV_SD-开film</t>
  </si>
  <si>
    <t>EU_ID_2_v1.5_20200411</t>
  </si>
  <si>
    <t>DTV-NR,改善DTV锯齿</t>
  </si>
  <si>
    <t>EU_ID_2_v1.6_20200420</t>
  </si>
  <si>
    <t>VO_4K-sharpness</t>
  </si>
  <si>
    <t>EU_ID_2_v1.7_20200429</t>
  </si>
  <si>
    <t>HDMI-sharpness/NR/DI/DLTI/DCTI</t>
  </si>
  <si>
    <t>EU_ID_2_v1.8_20200502</t>
  </si>
  <si>
    <t>HDMI-sharpness&amp;NR/DLTI/1080I的SU_Dir</t>
  </si>
  <si>
    <t>EU_ID_2_v1.9_20200507</t>
  </si>
  <si>
    <t>HDMI-2K清晰度/NR;HDMI_720p的DLTI</t>
  </si>
  <si>
    <t>EU_ID_2_v2.0_20200512</t>
  </si>
  <si>
    <t>HDMI_4K-sharpness&amp;NR/VO_4K-sharpness</t>
  </si>
  <si>
    <t>EU_ID_2_v2.1_20200521</t>
  </si>
  <si>
    <t>sharpness&amp;NR</t>
  </si>
  <si>
    <t>decontour/VO_4K的sharpness/HDMI_2K的MBPK&amp;NR&amp;DLTI</t>
  </si>
  <si>
    <t>EU_R8K_V1.0_20200303</t>
  </si>
  <si>
    <t>EU_R8K_V1.1_20200306</t>
  </si>
  <si>
    <t>修改sharpness/SNR/H5X-DCC</t>
  </si>
  <si>
    <t>EU_R8K_V1.2_20200317</t>
  </si>
  <si>
    <t>修改DCC/black stretch/MPEG NR</t>
  </si>
  <si>
    <t>EU_R8K_V1.3_20200319</t>
  </si>
  <si>
    <t>2 修改ICM索引</t>
  </si>
  <si>
    <t>EU_R8K_V1.4_20200408</t>
  </si>
  <si>
    <t>HDMI&amp;DTV sharpness/STNR</t>
  </si>
  <si>
    <t>EU_R8K_V1.5_20200422</t>
  </si>
  <si>
    <t>HDMI-sharpness&amp;NR</t>
  </si>
  <si>
    <t>EU_R8K_V1.6_20200428</t>
  </si>
  <si>
    <t>4k-sharpness/DCC/DLTI</t>
  </si>
  <si>
    <t>EU_R8K_V1.7_20200502</t>
  </si>
  <si>
    <t>EU_R8K_V1.8_20200507</t>
  </si>
  <si>
    <t>HDMI_SD&amp;720P的SU_Dir/HDMI的sharpness&amp;Snr&amp;DLTI;新头文件编译</t>
  </si>
  <si>
    <t>EU_R8K_V1.9_20200511</t>
  </si>
  <si>
    <t>EU_R8K_V2.0_20200521</t>
  </si>
  <si>
    <t>decontour/sharpness&amp;NR/DCC/HDMI_1080p的DLTI</t>
  </si>
  <si>
    <t>decontour/sharpness&amp;NR/DCC_curve(还新增了shop)/DCC_color_compensation</t>
  </si>
  <si>
    <t>DLTI/8K的SNR</t>
  </si>
  <si>
    <t>1 修改uv delay参数-mantis0319117  接2403输出pattern613，HDMI1,2左边绿线</t>
    <phoneticPr fontId="4" type="noConversion"/>
  </si>
  <si>
    <t>序号</t>
    <phoneticPr fontId="4" type="noConversion"/>
  </si>
  <si>
    <t>机型</t>
    <phoneticPr fontId="4" type="noConversion"/>
  </si>
  <si>
    <t>projectID</t>
    <phoneticPr fontId="4" type="noConversion"/>
  </si>
  <si>
    <t>HID</t>
    <phoneticPr fontId="4" type="noConversion"/>
  </si>
  <si>
    <t>SID</t>
    <phoneticPr fontId="4" type="noConversion"/>
  </si>
  <si>
    <r>
      <t xml:space="preserve">  </t>
    </r>
    <r>
      <rPr>
        <b/>
        <sz val="11"/>
        <color theme="1"/>
        <rFont val="宋体"/>
        <family val="3"/>
        <charset val="134"/>
        <scheme val="minor"/>
      </rPr>
      <t>小PQ文件名</t>
    </r>
    <r>
      <rPr>
        <sz val="11"/>
        <color theme="1"/>
        <rFont val="宋体"/>
        <family val="2"/>
        <scheme val="minor"/>
      </rPr>
      <t xml:space="preserve">
/tclconfig/pq/51m/</t>
    </r>
    <phoneticPr fontId="4" type="noConversion"/>
  </si>
  <si>
    <t>小PQ版本信息</t>
    <phoneticPr fontId="4" type="noConversion"/>
  </si>
  <si>
    <t>50Q637</t>
    <phoneticPr fontId="4" type="noConversion"/>
  </si>
  <si>
    <t>vip_default_icm_50Q637.bin</t>
    <phoneticPr fontId="4" type="noConversion"/>
  </si>
  <si>
    <t>55Q637</t>
    <phoneticPr fontId="4" type="noConversion"/>
  </si>
  <si>
    <t>vip_default_icm_55Q637.bin</t>
    <phoneticPr fontId="4" type="noConversion"/>
  </si>
  <si>
    <t>65Q637</t>
    <phoneticPr fontId="4" type="noConversion"/>
  </si>
  <si>
    <t>55P815</t>
    <phoneticPr fontId="4" type="noConversion"/>
  </si>
  <si>
    <t>vip_default_icm_55P815.bin</t>
    <phoneticPr fontId="4" type="noConversion"/>
  </si>
  <si>
    <t>65P815</t>
    <phoneticPr fontId="4" type="noConversion"/>
  </si>
  <si>
    <r>
      <t>vip_default_icm_</t>
    </r>
    <r>
      <rPr>
        <sz val="11"/>
        <color rgb="FFFF0000"/>
        <rFont val="宋体"/>
        <family val="3"/>
        <charset val="134"/>
        <scheme val="minor"/>
      </rPr>
      <t>55</t>
    </r>
    <r>
      <rPr>
        <sz val="11"/>
        <color theme="1"/>
        <rFont val="宋体"/>
        <family val="2"/>
        <scheme val="minor"/>
      </rPr>
      <t>P815.bin</t>
    </r>
    <phoneticPr fontId="4" type="noConversion"/>
  </si>
  <si>
    <t>50P815</t>
    <phoneticPr fontId="4" type="noConversion"/>
  </si>
  <si>
    <t>75Q637</t>
    <phoneticPr fontId="4" type="noConversion"/>
  </si>
  <si>
    <t>vip_default_icm_75Q637.bin</t>
    <phoneticPr fontId="4" type="noConversion"/>
  </si>
  <si>
    <t>55UF2-EU</t>
    <phoneticPr fontId="4" type="noConversion"/>
  </si>
  <si>
    <t>vip_default_icm_55UF2.bin</t>
    <phoneticPr fontId="4" type="noConversion"/>
  </si>
  <si>
    <t>CA_SID7_V1.1_20200620</t>
    <phoneticPr fontId="4" type="noConversion"/>
  </si>
  <si>
    <t>sharpness/NR/DCC</t>
    <phoneticPr fontId="4" type="noConversion"/>
  </si>
  <si>
    <t>CA_SID7_V1.2_20200707</t>
    <phoneticPr fontId="4" type="noConversion"/>
  </si>
  <si>
    <t>DCC/HDMI的sharpness/HDMI_4K的DLTI</t>
    <phoneticPr fontId="4" type="noConversion"/>
  </si>
  <si>
    <t>CA_SID7_V1.3_20200710</t>
    <phoneticPr fontId="4" type="noConversion"/>
  </si>
  <si>
    <t>DCC/HDMI/DTV_2K sharpness/DLTI</t>
    <phoneticPr fontId="4" type="noConversion"/>
  </si>
  <si>
    <t>CA_SID7_V1.4_20200723</t>
    <phoneticPr fontId="4" type="noConversion"/>
  </si>
  <si>
    <t>DTV sharpness/usb&amp;DTV&amp;网络下HDR-2Ksharpness</t>
    <phoneticPr fontId="4" type="noConversion"/>
  </si>
  <si>
    <t>CA_SID7_V1.4_20200813</t>
    <phoneticPr fontId="4" type="noConversion"/>
  </si>
  <si>
    <t>DTV/USB的2K/4K sharpness
DTV/USB的NR auto与HDMI同步</t>
    <phoneticPr fontId="4" type="noConversion"/>
  </si>
  <si>
    <t>版本号</t>
    <phoneticPr fontId="4" type="noConversion"/>
  </si>
  <si>
    <t>文件路径</t>
    <phoneticPr fontId="4" type="noConversion"/>
  </si>
  <si>
    <t>51M大PQ</t>
    <phoneticPr fontId="4" type="noConversion"/>
  </si>
  <si>
    <t>/tclconfig/pq/h5x/R8K_vip_default_icm.bin.lz4</t>
    <phoneticPr fontId="4" type="noConversion"/>
  </si>
  <si>
    <t>H5X小PQ</t>
    <phoneticPr fontId="4" type="noConversion"/>
  </si>
  <si>
    <t>H5X大PQ</t>
    <phoneticPr fontId="4" type="noConversion"/>
  </si>
  <si>
    <t>8K
（后续如果有ID不同，需要再分开说明）</t>
    <phoneticPr fontId="4" type="noConversion"/>
  </si>
  <si>
    <t>4K
（后续如果有ID不同，需要再分开说明）</t>
    <phoneticPr fontId="4" type="noConversion"/>
  </si>
  <si>
    <t>大PQ
（后续如果有ID不同，需要再分开说明）</t>
    <phoneticPr fontId="4" type="noConversion"/>
  </si>
  <si>
    <t>小PQ
（后续如果有ID不同，需要再分开说明）</t>
    <phoneticPr fontId="4" type="noConversion"/>
  </si>
  <si>
    <t>EU_R8K_V2.1_20200701</t>
    <phoneticPr fontId="4" type="noConversion"/>
  </si>
  <si>
    <t>修改内容</t>
    <phoneticPr fontId="4" type="noConversion"/>
  </si>
  <si>
    <t>EU_ID_2_v2.2_20200619</t>
    <phoneticPr fontId="4" type="noConversion"/>
  </si>
  <si>
    <t>测试建议</t>
    <phoneticPr fontId="4" type="noConversion"/>
  </si>
  <si>
    <t>机型</t>
    <phoneticPr fontId="4" type="noConversion"/>
  </si>
  <si>
    <t>PQ版本号</t>
    <phoneticPr fontId="4" type="noConversion"/>
  </si>
  <si>
    <t>75X915</t>
    <phoneticPr fontId="4" type="noConversion"/>
  </si>
  <si>
    <t>备注</t>
    <phoneticPr fontId="4" type="noConversion"/>
  </si>
  <si>
    <t>65X915</t>
    <phoneticPr fontId="4" type="noConversion"/>
  </si>
  <si>
    <t>ProjectID</t>
    <phoneticPr fontId="4" type="noConversion"/>
  </si>
  <si>
    <t>PQ_ICM_ID517_V2.1_20200821</t>
    <phoneticPr fontId="4" type="noConversion"/>
  </si>
  <si>
    <t>涉及修改的文件路径【svn 或git，若有多个文件，请以分号隔开，并重起一行】</t>
    <phoneticPr fontId="4" type="noConversion"/>
  </si>
  <si>
    <t>上传的文件svn 或git版本号【若有多个文件上传的版本号，请以分号隔开，并重起一行】</t>
    <phoneticPr fontId="4" type="noConversion"/>
  </si>
  <si>
    <t>涉及修改的文件上传路径</t>
    <phoneticPr fontId="4" type="noConversion"/>
  </si>
  <si>
    <t>涉及修改的文件上传路径【svn 或git，若有多个文件，请以分号隔开，并重起一行】</t>
    <phoneticPr fontId="4" type="noConversion"/>
  </si>
  <si>
    <t>涉及修改的文件上传的版本信息【svn号或者git信息】</t>
    <phoneticPr fontId="4" type="noConversion"/>
  </si>
  <si>
    <t>PQ 验收日期</t>
    <phoneticPr fontId="4" type="noConversion"/>
  </si>
  <si>
    <t>PQ验收日期</t>
    <phoneticPr fontId="4" type="noConversion"/>
  </si>
  <si>
    <t>PQ版本规则：高版本号兼容低版本号</t>
    <phoneticPr fontId="4" type="noConversion"/>
  </si>
  <si>
    <t>PQ版本规则：高版本号兼容低版本号</t>
    <phoneticPr fontId="4" type="noConversion"/>
  </si>
  <si>
    <t>修改内容</t>
    <phoneticPr fontId="4" type="noConversion"/>
  </si>
  <si>
    <t>PQ的验收日期</t>
    <phoneticPr fontId="4" type="noConversion"/>
  </si>
  <si>
    <t>SQA测试需要检查的</t>
    <phoneticPr fontId="4" type="noConversion"/>
  </si>
  <si>
    <t>软件leader需要关注的</t>
    <phoneticPr fontId="4" type="noConversion"/>
  </si>
  <si>
    <t xml:space="preserve">在Google setting的About的Contact Us页面里PQ version
PQ version:主IC的大PQ/小PQ;次IC的大PQ/小PQ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</si>
</sst>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804]aaa;@"/>
  </numFmts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76" fontId="1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0" fontId="0" fillId="0" borderId="1" xfId="0" applyFill="1" applyBorder="1"/>
    <xf numFmtId="176" fontId="1" fillId="0" borderId="0" xfId="1" applyAlignment="1">
      <alignment horizontal="center" vertical="center"/>
    </xf>
    <xf numFmtId="176" fontId="1" fillId="0" borderId="1" xfId="1" applyBorder="1" applyAlignment="1">
      <alignment horizontal="center" vertical="center"/>
    </xf>
    <xf numFmtId="176" fontId="5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76" fontId="5" fillId="0" borderId="1" xfId="1" applyFont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5" fillId="0" borderId="1" xfId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76" fontId="5" fillId="0" borderId="2" xfId="1" applyFont="1" applyBorder="1" applyAlignment="1">
      <alignment horizontal="left" vertical="top" wrapText="1"/>
    </xf>
    <xf numFmtId="176" fontId="5" fillId="0" borderId="3" xfId="1" applyFont="1" applyBorder="1" applyAlignment="1">
      <alignment horizontal="left" vertical="top" wrapText="1"/>
    </xf>
    <xf numFmtId="176" fontId="5" fillId="0" borderId="4" xfId="1" applyFont="1" applyBorder="1" applyAlignment="1">
      <alignment horizontal="left" vertical="top" wrapText="1"/>
    </xf>
    <xf numFmtId="176" fontId="5" fillId="0" borderId="2" xfId="1" applyFont="1" applyBorder="1" applyAlignment="1">
      <alignment horizontal="center" vertical="center"/>
    </xf>
    <xf numFmtId="176" fontId="5" fillId="0" borderId="3" xfId="1" applyFont="1" applyBorder="1" applyAlignment="1">
      <alignment horizontal="center" vertical="center"/>
    </xf>
    <xf numFmtId="176" fontId="5" fillId="0" borderId="4" xfId="1" applyFont="1" applyBorder="1" applyAlignment="1">
      <alignment horizontal="center" vertical="center"/>
    </xf>
    <xf numFmtId="176" fontId="1" fillId="3" borderId="5" xfId="1" applyFill="1" applyBorder="1" applyAlignment="1">
      <alignment horizontal="center" vertical="center"/>
    </xf>
    <xf numFmtId="176" fontId="1" fillId="4" borderId="5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2" borderId="0" xfId="0" applyFill="1" applyAlignment="1">
      <alignment horizontal="left"/>
    </xf>
    <xf numFmtId="0" fontId="5" fillId="0" borderId="1" xfId="1" applyNumberFormat="1" applyFont="1" applyBorder="1" applyAlignment="1">
      <alignment horizontal="center" vertical="center"/>
    </xf>
  </cellXfs>
  <cellStyles count="2">
    <cellStyle name="常规" xfId="0" builtinId="0"/>
    <cellStyle name="常规 7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12" sqref="C12"/>
    </sheetView>
  </sheetViews>
  <sheetFormatPr defaultColWidth="9" defaultRowHeight="14" x14ac:dyDescent="0.25"/>
  <cols>
    <col min="1" max="1" width="7.54296875" style="17" customWidth="1"/>
    <col min="2" max="2" width="10.453125" style="17" customWidth="1"/>
    <col min="3" max="3" width="84.26953125" style="17" customWidth="1"/>
    <col min="4" max="4" width="28.08984375" style="17" customWidth="1"/>
    <col min="5" max="5" width="53" style="17" customWidth="1"/>
    <col min="6" max="6" width="19.453125" style="17" customWidth="1"/>
    <col min="7" max="7" width="24.1796875" style="17" customWidth="1"/>
    <col min="8" max="16384" width="9" style="17"/>
  </cols>
  <sheetData>
    <row r="1" spans="1:7" x14ac:dyDescent="0.25">
      <c r="A1" s="34" t="s">
        <v>114</v>
      </c>
      <c r="B1" s="34"/>
      <c r="C1" s="34"/>
      <c r="D1" s="35" t="s">
        <v>115</v>
      </c>
      <c r="E1" s="35"/>
      <c r="F1" s="35"/>
    </row>
    <row r="2" spans="1:7" x14ac:dyDescent="0.25">
      <c r="A2" s="19" t="s">
        <v>96</v>
      </c>
      <c r="B2" s="19" t="s">
        <v>101</v>
      </c>
      <c r="C2" s="19" t="s">
        <v>97</v>
      </c>
      <c r="D2" s="19" t="s">
        <v>105</v>
      </c>
      <c r="E2" s="25" t="s">
        <v>107</v>
      </c>
      <c r="F2" s="25" t="s">
        <v>113</v>
      </c>
      <c r="G2" s="19" t="s">
        <v>99</v>
      </c>
    </row>
    <row r="3" spans="1:7" x14ac:dyDescent="0.25">
      <c r="A3" s="31" t="s">
        <v>98</v>
      </c>
      <c r="B3" s="54">
        <v>526</v>
      </c>
      <c r="C3" s="22" t="str">
        <f>LOOKUP("版本号",'51M-大PQ'!$B$4:$B$22)&amp;"/"&amp;IFERROR(VLOOKUP(B3,'51M小PQ'!$C$4:$G$999,5,FALSE),"")&amp;";"&amp;LOOKUP("版本号",'H5X-大PQ'!$B$4:$B$17)&amp;"/"&amp;LOOKUP("版本号",'H5X-小PQ'!$B$4:$B$17)</f>
        <v>EU_ID_2_v2.2_20200619/;EU_R8K_V2.1_20200701/PQ_ICM_ID517_V2.1_20200821</v>
      </c>
      <c r="D3" s="22"/>
      <c r="E3" s="18"/>
      <c r="F3" s="18"/>
      <c r="G3" s="28" t="s">
        <v>116</v>
      </c>
    </row>
    <row r="4" spans="1:7" x14ac:dyDescent="0.25">
      <c r="A4" s="32"/>
      <c r="B4" s="54">
        <v>1541</v>
      </c>
      <c r="C4" s="22" t="str">
        <f>LOOKUP("版本号",'51M-大PQ'!$B$4:$B$22)&amp;"/"&amp;IFERROR(VLOOKUP(B3,'51M小PQ'!$C$4:$G$999,5,FALSE),"")&amp;";"&amp;LOOKUP("版本号",'H5X-大PQ'!$B$4:$B$17)&amp;"/"&amp;LOOKUP("版本号",'H5X-小PQ'!$B$4:$B$17)</f>
        <v>EU_ID_2_v2.2_20200619/;EU_R8K_V2.1_20200701/PQ_ICM_ID517_V2.1_20200821</v>
      </c>
      <c r="D4" s="18"/>
      <c r="E4" s="18"/>
      <c r="F4" s="18"/>
      <c r="G4" s="29"/>
    </row>
    <row r="5" spans="1:7" x14ac:dyDescent="0.25">
      <c r="A5" s="32"/>
      <c r="B5" s="54">
        <v>2582</v>
      </c>
      <c r="C5" s="22" t="str">
        <f>LOOKUP("版本号",'51M-大PQ'!$B$4:$B$22)&amp;"/"&amp;IFERROR(VLOOKUP(B3,'51M小PQ'!$C$4:$G$999,5,FALSE),"")&amp;";"&amp;LOOKUP("版本号",'H5X-大PQ'!$B$4:$B$17)&amp;"/"&amp;LOOKUP("版本号",'H5X-小PQ'!$B$4:$B$17)</f>
        <v>EU_ID_2_v2.2_20200619/;EU_R8K_V2.1_20200701/PQ_ICM_ID517_V2.1_20200821</v>
      </c>
      <c r="D5" s="18"/>
      <c r="E5" s="18"/>
      <c r="F5" s="18"/>
      <c r="G5" s="29"/>
    </row>
    <row r="6" spans="1:7" x14ac:dyDescent="0.25">
      <c r="A6" s="32"/>
      <c r="B6" s="54">
        <v>1060</v>
      </c>
      <c r="C6" s="22" t="str">
        <f>LOOKUP("版本号",'51M-大PQ'!$B$4:$B$22)&amp;"/"&amp;IFERROR(VLOOKUP(B3,'51M小PQ'!$C$4:$G$999,5,FALSE),"")&amp;";"&amp;LOOKUP("版本号",'H5X-大PQ'!$B$4:$B$17)&amp;"/"&amp;LOOKUP("版本号",'H5X-小PQ'!$B$4:$B$17)</f>
        <v>EU_ID_2_v2.2_20200619/;EU_R8K_V2.1_20200701/PQ_ICM_ID517_V2.1_20200821</v>
      </c>
      <c r="D6" s="18"/>
      <c r="E6" s="18"/>
      <c r="F6" s="18"/>
      <c r="G6" s="29"/>
    </row>
    <row r="7" spans="1:7" x14ac:dyDescent="0.25">
      <c r="A7" s="32"/>
      <c r="B7" s="54">
        <v>3094</v>
      </c>
      <c r="C7" s="22" t="str">
        <f>LOOKUP("版本号",'51M-大PQ'!$B$4:$B$22)&amp;"/"&amp;IFERROR(VLOOKUP(B4,'51M小PQ'!$C$4:$G$999,5,FALSE),"")&amp;";"&amp;LOOKUP("版本号",'H5X-大PQ'!$B$4:$B$17)&amp;"/"&amp;LOOKUP("版本号",'H5X-小PQ'!$B$4:$B$17)</f>
        <v>EU_ID_2_v2.2_20200619/;EU_R8K_V2.1_20200701/PQ_ICM_ID517_V2.1_20200821</v>
      </c>
      <c r="D7" s="18"/>
      <c r="E7" s="18"/>
      <c r="F7" s="18"/>
      <c r="G7" s="29"/>
    </row>
    <row r="8" spans="1:7" x14ac:dyDescent="0.25">
      <c r="A8" s="33"/>
      <c r="B8" s="54"/>
      <c r="C8" s="22" t="str">
        <f>LOOKUP("版本号",'51M-大PQ'!$B$4:$B$22)&amp;"/"&amp;IFERROR(VLOOKUP(B5,'51M小PQ'!$C$4:$G$999,5,FALSE),"")&amp;";"&amp;LOOKUP("版本号",'H5X-大PQ'!$B$4:$B$17)&amp;"/"&amp;LOOKUP("版本号",'H5X-小PQ'!$B$4:$B$17)</f>
        <v>EU_ID_2_v2.2_20200619/;EU_R8K_V2.1_20200701/PQ_ICM_ID517_V2.1_20200821</v>
      </c>
      <c r="D8" s="18"/>
      <c r="E8" s="18"/>
      <c r="F8" s="18"/>
      <c r="G8" s="29"/>
    </row>
    <row r="9" spans="1:7" x14ac:dyDescent="0.25">
      <c r="A9" s="19" t="s">
        <v>100</v>
      </c>
      <c r="B9" s="54">
        <v>1549</v>
      </c>
      <c r="C9" s="22" t="str">
        <f>LOOKUP("版本号",'51M-大PQ'!$B$4:$B$22)&amp;"/"&amp;IFERROR(VLOOKUP(B6,'51M小PQ'!$C$4:$G$999,5,FALSE),"")&amp;";"&amp;LOOKUP("版本号",'H5X-大PQ'!$B$4:$B$17)&amp;"/"&amp;LOOKUP("版本号",'H5X-小PQ'!$B$4:$B$17)</f>
        <v>EU_ID_2_v2.2_20200619/;EU_R8K_V2.1_20200701/PQ_ICM_ID517_V2.1_20200821</v>
      </c>
      <c r="D9" s="22"/>
      <c r="E9" s="18"/>
      <c r="F9" s="18"/>
      <c r="G9" s="29"/>
    </row>
    <row r="10" spans="1:7" x14ac:dyDescent="0.25">
      <c r="A10" s="19" t="s">
        <v>58</v>
      </c>
      <c r="B10" s="54">
        <v>1827</v>
      </c>
      <c r="C10" s="22" t="str">
        <f>LOOKUP("版本号",'51M-大PQ'!$B$23:$B$33)&amp;"/"&amp;IFERROR(VLOOKUP(B8,'51M小PQ'!$C$4:$G$1000,5,FALSE),"")&amp;";"</f>
        <v>CA_SID7_V1.4_20200813/;</v>
      </c>
      <c r="D10" s="18"/>
      <c r="E10" s="18"/>
      <c r="F10" s="18"/>
      <c r="G10" s="29"/>
    </row>
    <row r="11" spans="1:7" x14ac:dyDescent="0.25">
      <c r="A11" s="18"/>
      <c r="B11" s="19"/>
      <c r="C11" s="18"/>
      <c r="D11" s="18"/>
      <c r="E11" s="18"/>
      <c r="F11" s="18"/>
      <c r="G11" s="29"/>
    </row>
    <row r="12" spans="1:7" x14ac:dyDescent="0.25">
      <c r="A12" s="18"/>
      <c r="B12" s="19"/>
      <c r="C12" s="18"/>
      <c r="D12" s="18"/>
      <c r="E12" s="18"/>
      <c r="F12" s="18"/>
      <c r="G12" s="29"/>
    </row>
    <row r="13" spans="1:7" x14ac:dyDescent="0.25">
      <c r="A13" s="18"/>
      <c r="B13" s="19"/>
      <c r="C13" s="18"/>
      <c r="D13" s="18"/>
      <c r="E13" s="18"/>
      <c r="F13" s="18"/>
      <c r="G13" s="29"/>
    </row>
    <row r="14" spans="1:7" x14ac:dyDescent="0.25">
      <c r="A14" s="18"/>
      <c r="B14" s="19"/>
      <c r="C14" s="18"/>
      <c r="D14" s="18"/>
      <c r="E14" s="18"/>
      <c r="F14" s="18"/>
      <c r="G14" s="29"/>
    </row>
    <row r="15" spans="1:7" x14ac:dyDescent="0.25">
      <c r="A15" s="18"/>
      <c r="B15" s="19"/>
      <c r="C15" s="18"/>
      <c r="D15" s="18"/>
      <c r="E15" s="18"/>
      <c r="F15" s="18"/>
      <c r="G15" s="29"/>
    </row>
    <row r="16" spans="1:7" x14ac:dyDescent="0.25">
      <c r="A16" s="18"/>
      <c r="B16" s="19"/>
      <c r="C16" s="18"/>
      <c r="D16" s="18"/>
      <c r="E16" s="18"/>
      <c r="F16" s="18"/>
      <c r="G16" s="29"/>
    </row>
    <row r="17" spans="1:7" x14ac:dyDescent="0.25">
      <c r="A17" s="18"/>
      <c r="B17" s="19"/>
      <c r="C17" s="18"/>
      <c r="D17" s="18"/>
      <c r="E17" s="18"/>
      <c r="F17" s="18"/>
      <c r="G17" s="29"/>
    </row>
    <row r="18" spans="1:7" x14ac:dyDescent="0.25">
      <c r="A18" s="18"/>
      <c r="B18" s="19"/>
      <c r="C18" s="18"/>
      <c r="D18" s="18"/>
      <c r="E18" s="18"/>
      <c r="F18" s="18"/>
      <c r="G18" s="29"/>
    </row>
    <row r="19" spans="1:7" x14ac:dyDescent="0.25">
      <c r="A19" s="18"/>
      <c r="B19" s="18"/>
      <c r="C19" s="18"/>
      <c r="D19" s="18"/>
      <c r="E19" s="18"/>
      <c r="F19" s="18"/>
      <c r="G19" s="29"/>
    </row>
    <row r="20" spans="1:7" x14ac:dyDescent="0.25">
      <c r="A20" s="18"/>
      <c r="B20" s="18"/>
      <c r="C20" s="18"/>
      <c r="D20" s="18"/>
      <c r="E20" s="18"/>
      <c r="F20" s="18"/>
      <c r="G20" s="29"/>
    </row>
    <row r="21" spans="1:7" x14ac:dyDescent="0.25">
      <c r="A21" s="18"/>
      <c r="B21" s="18"/>
      <c r="C21" s="18"/>
      <c r="D21" s="18"/>
      <c r="E21" s="18"/>
      <c r="F21" s="18"/>
      <c r="G21" s="29"/>
    </row>
    <row r="22" spans="1:7" x14ac:dyDescent="0.25">
      <c r="A22" s="18"/>
      <c r="B22" s="18"/>
      <c r="C22" s="18"/>
      <c r="D22" s="18"/>
      <c r="E22" s="18"/>
      <c r="F22" s="18"/>
      <c r="G22" s="29"/>
    </row>
    <row r="23" spans="1:7" x14ac:dyDescent="0.25">
      <c r="A23" s="18"/>
      <c r="B23" s="18"/>
      <c r="C23" s="18"/>
      <c r="D23" s="18"/>
      <c r="E23" s="18"/>
      <c r="F23" s="18"/>
      <c r="G23" s="29"/>
    </row>
    <row r="24" spans="1:7" x14ac:dyDescent="0.25">
      <c r="A24" s="18"/>
      <c r="B24" s="18"/>
      <c r="C24" s="18"/>
      <c r="D24" s="18"/>
      <c r="E24" s="18"/>
      <c r="F24" s="18"/>
      <c r="G24" s="29"/>
    </row>
    <row r="25" spans="1:7" x14ac:dyDescent="0.25">
      <c r="A25" s="18"/>
      <c r="B25" s="18"/>
      <c r="C25" s="18"/>
      <c r="D25" s="18"/>
      <c r="E25" s="18"/>
      <c r="F25" s="18"/>
      <c r="G25" s="29"/>
    </row>
    <row r="26" spans="1:7" x14ac:dyDescent="0.25">
      <c r="A26" s="18"/>
      <c r="B26" s="18"/>
      <c r="C26" s="18"/>
      <c r="D26" s="18"/>
      <c r="E26" s="18"/>
      <c r="F26" s="18"/>
      <c r="G26" s="29"/>
    </row>
    <row r="27" spans="1:7" x14ac:dyDescent="0.25">
      <c r="A27" s="18"/>
      <c r="B27" s="18"/>
      <c r="C27" s="18"/>
      <c r="D27" s="18"/>
      <c r="E27" s="18"/>
      <c r="F27" s="18"/>
      <c r="G27" s="29"/>
    </row>
    <row r="28" spans="1:7" x14ac:dyDescent="0.25">
      <c r="A28" s="18"/>
      <c r="B28" s="18"/>
      <c r="C28" s="18"/>
      <c r="D28" s="18"/>
      <c r="E28" s="18"/>
      <c r="F28" s="18"/>
      <c r="G28" s="29"/>
    </row>
    <row r="29" spans="1:7" x14ac:dyDescent="0.25">
      <c r="A29" s="18"/>
      <c r="B29" s="18"/>
      <c r="C29" s="18"/>
      <c r="D29" s="18"/>
      <c r="E29" s="18"/>
      <c r="F29" s="18"/>
      <c r="G29" s="29"/>
    </row>
    <row r="30" spans="1:7" x14ac:dyDescent="0.25">
      <c r="A30" s="18"/>
      <c r="B30" s="18"/>
      <c r="C30" s="18"/>
      <c r="D30" s="18"/>
      <c r="E30" s="18"/>
      <c r="F30" s="18"/>
      <c r="G30" s="29"/>
    </row>
    <row r="31" spans="1:7" x14ac:dyDescent="0.25">
      <c r="A31" s="18"/>
      <c r="B31" s="18"/>
      <c r="C31" s="18"/>
      <c r="D31" s="18"/>
      <c r="E31" s="18"/>
      <c r="F31" s="18"/>
      <c r="G31" s="29"/>
    </row>
    <row r="32" spans="1:7" x14ac:dyDescent="0.25">
      <c r="A32" s="18"/>
      <c r="B32" s="18"/>
      <c r="C32" s="18"/>
      <c r="D32" s="18"/>
      <c r="E32" s="18"/>
      <c r="F32" s="18"/>
      <c r="G32" s="30"/>
    </row>
  </sheetData>
  <mergeCells count="4">
    <mergeCell ref="G3:G32"/>
    <mergeCell ref="A1:C1"/>
    <mergeCell ref="D1:F1"/>
    <mergeCell ref="A3:A8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16" workbookViewId="0">
      <selection activeCell="C19" sqref="C19"/>
    </sheetView>
  </sheetViews>
  <sheetFormatPr defaultColWidth="9" defaultRowHeight="14" x14ac:dyDescent="0.25"/>
  <cols>
    <col min="1" max="1" width="10.7265625" style="3" customWidth="1"/>
    <col min="2" max="3" width="28.90625" style="3" customWidth="1"/>
    <col min="4" max="4" width="34.26953125" customWidth="1"/>
    <col min="5" max="5" width="32.36328125" customWidth="1"/>
    <col min="6" max="6" width="16.81640625" customWidth="1"/>
    <col min="7" max="16384" width="9" style="3"/>
  </cols>
  <sheetData>
    <row r="1" spans="1:7" x14ac:dyDescent="0.25">
      <c r="A1" s="39" t="s">
        <v>110</v>
      </c>
      <c r="B1" s="40"/>
      <c r="C1" s="41"/>
    </row>
    <row r="2" spans="1:7" x14ac:dyDescent="0.25">
      <c r="A2" s="42"/>
      <c r="B2" s="43"/>
      <c r="C2" s="44"/>
    </row>
    <row r="3" spans="1:7" ht="42" x14ac:dyDescent="0.25">
      <c r="A3" s="5" t="s">
        <v>84</v>
      </c>
      <c r="B3" s="5" t="s">
        <v>82</v>
      </c>
      <c r="C3" s="24" t="s">
        <v>93</v>
      </c>
      <c r="D3" s="27" t="s">
        <v>106</v>
      </c>
      <c r="E3" s="20" t="s">
        <v>104</v>
      </c>
      <c r="F3" s="8" t="s">
        <v>95</v>
      </c>
      <c r="G3" s="26" t="s">
        <v>108</v>
      </c>
    </row>
    <row r="4" spans="1:7" ht="14" customHeight="1" x14ac:dyDescent="0.25">
      <c r="A4" s="36" t="s">
        <v>88</v>
      </c>
      <c r="B4" s="4" t="s">
        <v>3</v>
      </c>
      <c r="C4" s="4" t="s">
        <v>4</v>
      </c>
      <c r="D4" s="21"/>
      <c r="E4" s="7"/>
      <c r="F4" s="7"/>
      <c r="G4" s="7"/>
    </row>
    <row r="5" spans="1:7" x14ac:dyDescent="0.25">
      <c r="A5" s="36"/>
      <c r="B5" s="4" t="s">
        <v>5</v>
      </c>
      <c r="C5" s="4" t="s">
        <v>6</v>
      </c>
      <c r="D5" s="21"/>
      <c r="E5" s="7"/>
      <c r="F5" s="7"/>
      <c r="G5" s="7"/>
    </row>
    <row r="6" spans="1:7" x14ac:dyDescent="0.25">
      <c r="A6" s="36"/>
      <c r="B6" s="38" t="s">
        <v>7</v>
      </c>
      <c r="C6" s="4" t="s">
        <v>8</v>
      </c>
      <c r="D6" s="21"/>
      <c r="E6" s="7"/>
      <c r="F6" s="7"/>
      <c r="G6" s="7"/>
    </row>
    <row r="7" spans="1:7" x14ac:dyDescent="0.25">
      <c r="A7" s="36"/>
      <c r="B7" s="38"/>
      <c r="C7" s="4" t="s">
        <v>0</v>
      </c>
      <c r="D7" s="21"/>
      <c r="E7" s="7"/>
      <c r="F7" s="7"/>
      <c r="G7" s="7"/>
    </row>
    <row r="8" spans="1:7" ht="28" x14ac:dyDescent="0.25">
      <c r="A8" s="36"/>
      <c r="B8" s="38"/>
      <c r="C8" s="4" t="s">
        <v>1</v>
      </c>
      <c r="D8" s="21"/>
      <c r="E8" s="7"/>
      <c r="F8" s="7"/>
      <c r="G8" s="7"/>
    </row>
    <row r="9" spans="1:7" ht="28" x14ac:dyDescent="0.25">
      <c r="A9" s="36"/>
      <c r="B9" s="38"/>
      <c r="C9" s="4" t="s">
        <v>9</v>
      </c>
      <c r="D9" s="21"/>
      <c r="E9" s="7"/>
      <c r="F9" s="7"/>
      <c r="G9" s="7"/>
    </row>
    <row r="10" spans="1:7" x14ac:dyDescent="0.25">
      <c r="A10" s="36"/>
      <c r="B10" s="4" t="s">
        <v>10</v>
      </c>
      <c r="C10" s="4" t="s">
        <v>11</v>
      </c>
      <c r="D10" s="21"/>
      <c r="E10" s="7"/>
      <c r="F10" s="7"/>
      <c r="G10" s="7"/>
    </row>
    <row r="11" spans="1:7" ht="28" x14ac:dyDescent="0.25">
      <c r="A11" s="36"/>
      <c r="B11" s="4" t="s">
        <v>12</v>
      </c>
      <c r="C11" s="4" t="s">
        <v>13</v>
      </c>
      <c r="D11" s="21"/>
      <c r="E11" s="7"/>
      <c r="F11" s="7"/>
      <c r="G11" s="7"/>
    </row>
    <row r="12" spans="1:7" x14ac:dyDescent="0.25">
      <c r="A12" s="36"/>
      <c r="B12" s="4" t="s">
        <v>14</v>
      </c>
      <c r="C12" s="4" t="s">
        <v>15</v>
      </c>
      <c r="D12" s="21"/>
      <c r="E12" s="7"/>
      <c r="F12" s="7"/>
      <c r="G12" s="7"/>
    </row>
    <row r="13" spans="1:7" x14ac:dyDescent="0.25">
      <c r="A13" s="36"/>
      <c r="B13" s="4" t="s">
        <v>16</v>
      </c>
      <c r="C13" s="4" t="s">
        <v>17</v>
      </c>
      <c r="D13" s="21"/>
      <c r="E13" s="7"/>
      <c r="F13" s="7"/>
      <c r="G13" s="7"/>
    </row>
    <row r="14" spans="1:7" ht="28" x14ac:dyDescent="0.25">
      <c r="A14" s="36"/>
      <c r="B14" s="4" t="s">
        <v>18</v>
      </c>
      <c r="C14" s="4" t="s">
        <v>19</v>
      </c>
      <c r="D14" s="21"/>
      <c r="E14" s="7"/>
      <c r="F14" s="7"/>
      <c r="G14" s="7"/>
    </row>
    <row r="15" spans="1:7" ht="28" x14ac:dyDescent="0.25">
      <c r="A15" s="36"/>
      <c r="B15" s="4" t="s">
        <v>20</v>
      </c>
      <c r="C15" s="4" t="s">
        <v>21</v>
      </c>
      <c r="D15" s="21"/>
      <c r="E15" s="7"/>
      <c r="F15" s="7"/>
      <c r="G15" s="7"/>
    </row>
    <row r="16" spans="1:7" ht="28" x14ac:dyDescent="0.25">
      <c r="A16" s="36"/>
      <c r="B16" s="4" t="s">
        <v>22</v>
      </c>
      <c r="C16" s="4" t="s">
        <v>23</v>
      </c>
      <c r="D16" s="21"/>
      <c r="E16" s="7"/>
      <c r="F16" s="7"/>
      <c r="G16" s="7"/>
    </row>
    <row r="17" spans="1:7" ht="28" x14ac:dyDescent="0.25">
      <c r="A17" s="36"/>
      <c r="B17" s="4" t="s">
        <v>24</v>
      </c>
      <c r="C17" s="4" t="s">
        <v>25</v>
      </c>
      <c r="D17" s="21"/>
      <c r="E17" s="7"/>
      <c r="F17" s="7"/>
      <c r="G17" s="7"/>
    </row>
    <row r="18" spans="1:7" x14ac:dyDescent="0.25">
      <c r="A18" s="36"/>
      <c r="B18" s="4" t="s">
        <v>26</v>
      </c>
      <c r="C18" s="4" t="s">
        <v>27</v>
      </c>
      <c r="D18" s="21"/>
      <c r="E18" s="21"/>
      <c r="F18" s="21"/>
      <c r="G18" s="7"/>
    </row>
    <row r="19" spans="1:7" ht="42" x14ac:dyDescent="0.25">
      <c r="A19" s="36"/>
      <c r="B19" s="4" t="s">
        <v>94</v>
      </c>
      <c r="C19" s="4" t="s">
        <v>28</v>
      </c>
      <c r="D19" s="21"/>
      <c r="E19" s="21"/>
      <c r="F19" s="21"/>
      <c r="G19" s="7"/>
    </row>
    <row r="20" spans="1:7" x14ac:dyDescent="0.25">
      <c r="A20" s="36"/>
      <c r="B20" s="4"/>
      <c r="C20" s="4"/>
      <c r="D20" s="21"/>
      <c r="E20" s="21"/>
      <c r="F20" s="21"/>
      <c r="G20" s="7"/>
    </row>
    <row r="21" spans="1:7" x14ac:dyDescent="0.25">
      <c r="A21" s="36"/>
      <c r="B21" s="4"/>
      <c r="C21" s="4"/>
      <c r="D21" s="21"/>
      <c r="E21" s="21"/>
      <c r="F21" s="21"/>
      <c r="G21" s="7"/>
    </row>
    <row r="22" spans="1:7" x14ac:dyDescent="0.25">
      <c r="A22" s="36"/>
      <c r="B22" s="4"/>
      <c r="C22" s="4"/>
      <c r="D22" s="21"/>
      <c r="E22" s="21"/>
      <c r="F22" s="21"/>
      <c r="G22" s="7"/>
    </row>
    <row r="23" spans="1:7" ht="14" customHeight="1" x14ac:dyDescent="0.25">
      <c r="A23" s="37" t="s">
        <v>89</v>
      </c>
      <c r="B23" s="2" t="s">
        <v>72</v>
      </c>
      <c r="C23" s="2" t="s">
        <v>73</v>
      </c>
      <c r="D23" s="2"/>
      <c r="E23" s="2"/>
      <c r="F23" s="2"/>
      <c r="G23" s="7"/>
    </row>
    <row r="24" spans="1:7" x14ac:dyDescent="0.25">
      <c r="A24" s="37"/>
      <c r="B24" s="2" t="s">
        <v>74</v>
      </c>
      <c r="C24" s="2" t="s">
        <v>75</v>
      </c>
      <c r="D24" s="2"/>
      <c r="E24" s="2"/>
      <c r="F24" s="2"/>
      <c r="G24" s="7"/>
    </row>
    <row r="25" spans="1:7" x14ac:dyDescent="0.25">
      <c r="A25" s="37"/>
      <c r="B25" s="2" t="s">
        <v>76</v>
      </c>
      <c r="C25" s="2" t="s">
        <v>77</v>
      </c>
      <c r="D25" s="2"/>
      <c r="E25" s="2"/>
      <c r="F25" s="2"/>
      <c r="G25" s="7"/>
    </row>
    <row r="26" spans="1:7" x14ac:dyDescent="0.25">
      <c r="A26" s="37"/>
      <c r="B26" s="2" t="s">
        <v>78</v>
      </c>
      <c r="C26" s="2" t="s">
        <v>79</v>
      </c>
      <c r="D26" s="2"/>
      <c r="E26" s="2"/>
      <c r="F26" s="2"/>
      <c r="G26" s="7"/>
    </row>
    <row r="27" spans="1:7" ht="28" x14ac:dyDescent="0.25">
      <c r="A27" s="37"/>
      <c r="B27" s="2" t="s">
        <v>80</v>
      </c>
      <c r="C27" s="7" t="s">
        <v>81</v>
      </c>
      <c r="D27" s="7"/>
      <c r="E27" s="7"/>
      <c r="F27" s="7"/>
      <c r="G27" s="7"/>
    </row>
    <row r="28" spans="1:7" x14ac:dyDescent="0.25">
      <c r="A28" s="37"/>
      <c r="B28" s="2"/>
      <c r="C28" s="2"/>
      <c r="D28" s="2"/>
      <c r="E28" s="2"/>
      <c r="F28" s="2"/>
      <c r="G28" s="7"/>
    </row>
    <row r="29" spans="1:7" x14ac:dyDescent="0.25">
      <c r="A29" s="37"/>
      <c r="B29" s="7"/>
      <c r="C29" s="7"/>
      <c r="D29" s="7"/>
      <c r="E29" s="7"/>
      <c r="F29" s="7"/>
      <c r="G29" s="7"/>
    </row>
    <row r="30" spans="1:7" x14ac:dyDescent="0.25">
      <c r="A30" s="37"/>
      <c r="B30" s="7"/>
      <c r="C30" s="7"/>
      <c r="D30" s="7"/>
      <c r="E30" s="7"/>
      <c r="F30" s="7"/>
      <c r="G30" s="7"/>
    </row>
    <row r="31" spans="1:7" x14ac:dyDescent="0.25">
      <c r="A31" s="37"/>
      <c r="B31" s="7"/>
      <c r="C31" s="7"/>
      <c r="D31" s="7"/>
      <c r="E31" s="7"/>
      <c r="F31" s="7"/>
      <c r="G31" s="7"/>
    </row>
    <row r="32" spans="1:7" x14ac:dyDescent="0.25">
      <c r="A32" s="37"/>
      <c r="B32" s="7"/>
      <c r="C32" s="7"/>
      <c r="D32" s="7"/>
      <c r="E32" s="7"/>
      <c r="F32" s="7"/>
      <c r="G32" s="7"/>
    </row>
    <row r="33" spans="1:7" x14ac:dyDescent="0.25">
      <c r="A33" s="37"/>
      <c r="B33" s="7"/>
      <c r="C33" s="7"/>
      <c r="D33" s="7"/>
      <c r="E33" s="7"/>
      <c r="F33" s="7"/>
      <c r="G33" s="7"/>
    </row>
  </sheetData>
  <mergeCells count="4">
    <mergeCell ref="A4:A22"/>
    <mergeCell ref="A23:A33"/>
    <mergeCell ref="B6:B9"/>
    <mergeCell ref="A1:C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B3" sqref="B3"/>
    </sheetView>
  </sheetViews>
  <sheetFormatPr defaultRowHeight="14" x14ac:dyDescent="0.25"/>
  <cols>
    <col min="3" max="3" width="11.90625" customWidth="1"/>
    <col min="6" max="6" width="27.453125" customWidth="1"/>
    <col min="7" max="8" width="20" customWidth="1"/>
    <col min="9" max="9" width="34.26953125" customWidth="1"/>
    <col min="10" max="10" width="32.36328125" customWidth="1"/>
    <col min="11" max="11" width="15.08984375" customWidth="1"/>
  </cols>
  <sheetData>
    <row r="1" spans="1:11" x14ac:dyDescent="0.25">
      <c r="A1" s="45" t="s">
        <v>111</v>
      </c>
      <c r="B1" s="46"/>
      <c r="C1" s="46"/>
      <c r="D1" s="46"/>
      <c r="E1" s="47"/>
    </row>
    <row r="2" spans="1:11" x14ac:dyDescent="0.25">
      <c r="A2" s="48"/>
      <c r="B2" s="49"/>
      <c r="C2" s="49"/>
      <c r="D2" s="49"/>
      <c r="E2" s="50"/>
    </row>
    <row r="3" spans="1:11" ht="42" x14ac:dyDescent="0.25">
      <c r="A3" s="10" t="s">
        <v>51</v>
      </c>
      <c r="B3" s="11" t="s">
        <v>52</v>
      </c>
      <c r="C3" s="12" t="s">
        <v>53</v>
      </c>
      <c r="D3" s="12" t="s">
        <v>54</v>
      </c>
      <c r="E3" s="12" t="s">
        <v>55</v>
      </c>
      <c r="F3" s="13" t="s">
        <v>56</v>
      </c>
      <c r="G3" s="8" t="s">
        <v>57</v>
      </c>
      <c r="H3" s="8" t="s">
        <v>112</v>
      </c>
      <c r="I3" s="6" t="s">
        <v>106</v>
      </c>
      <c r="J3" s="20" t="s">
        <v>104</v>
      </c>
      <c r="K3" s="8" t="s">
        <v>109</v>
      </c>
    </row>
    <row r="4" spans="1:11" ht="13.5" customHeight="1" x14ac:dyDescent="0.25">
      <c r="A4" s="9">
        <v>1</v>
      </c>
      <c r="B4" s="2" t="s">
        <v>58</v>
      </c>
      <c r="C4" s="1">
        <v>1827</v>
      </c>
      <c r="D4" s="1">
        <v>35</v>
      </c>
      <c r="E4" s="1">
        <v>7</v>
      </c>
      <c r="F4" s="2" t="s">
        <v>59</v>
      </c>
      <c r="G4" s="2"/>
      <c r="H4" s="2"/>
      <c r="I4" s="21"/>
      <c r="J4" s="7"/>
      <c r="K4" s="2"/>
    </row>
    <row r="5" spans="1:11" x14ac:dyDescent="0.25">
      <c r="A5" s="9">
        <v>2</v>
      </c>
      <c r="B5" s="2" t="s">
        <v>60</v>
      </c>
      <c r="C5" s="1">
        <v>1816</v>
      </c>
      <c r="D5" s="1">
        <v>24</v>
      </c>
      <c r="E5" s="1">
        <v>7</v>
      </c>
      <c r="F5" s="14" t="s">
        <v>61</v>
      </c>
      <c r="G5" s="14"/>
      <c r="H5" s="14"/>
      <c r="I5" s="21"/>
      <c r="J5" s="7"/>
      <c r="K5" s="2"/>
    </row>
    <row r="6" spans="1:11" x14ac:dyDescent="0.25">
      <c r="A6" s="9">
        <v>3</v>
      </c>
      <c r="B6" s="2" t="s">
        <v>62</v>
      </c>
      <c r="C6" s="1">
        <v>1817</v>
      </c>
      <c r="D6" s="1">
        <v>25</v>
      </c>
      <c r="E6" s="1">
        <v>7</v>
      </c>
      <c r="F6" s="15" t="s">
        <v>61</v>
      </c>
      <c r="G6" s="15"/>
      <c r="H6" s="15"/>
      <c r="I6" s="21"/>
      <c r="J6" s="7"/>
      <c r="K6" s="2"/>
    </row>
    <row r="7" spans="1:11" x14ac:dyDescent="0.25">
      <c r="A7" s="9">
        <v>4</v>
      </c>
      <c r="B7" s="16" t="s">
        <v>63</v>
      </c>
      <c r="C7" s="1">
        <v>284</v>
      </c>
      <c r="D7" s="1">
        <v>28</v>
      </c>
      <c r="E7" s="1">
        <v>1</v>
      </c>
      <c r="F7" s="16" t="s">
        <v>64</v>
      </c>
      <c r="G7" s="16"/>
      <c r="H7" s="16"/>
      <c r="I7" s="21"/>
      <c r="J7" s="7"/>
      <c r="K7" s="2"/>
    </row>
    <row r="8" spans="1:11" x14ac:dyDescent="0.25">
      <c r="A8" s="9">
        <v>5</v>
      </c>
      <c r="B8" s="16" t="s">
        <v>65</v>
      </c>
      <c r="C8" s="1">
        <v>283</v>
      </c>
      <c r="D8" s="1">
        <v>27</v>
      </c>
      <c r="E8" s="1">
        <v>1</v>
      </c>
      <c r="F8" s="16" t="s">
        <v>66</v>
      </c>
      <c r="G8" s="16"/>
      <c r="H8" s="16"/>
      <c r="I8" s="21"/>
      <c r="J8" s="7"/>
      <c r="K8" s="2"/>
    </row>
    <row r="9" spans="1:11" x14ac:dyDescent="0.25">
      <c r="A9" s="9">
        <v>6</v>
      </c>
      <c r="B9" s="16" t="s">
        <v>67</v>
      </c>
      <c r="C9" s="1">
        <v>285</v>
      </c>
      <c r="D9" s="1">
        <v>29</v>
      </c>
      <c r="E9" s="1">
        <v>1</v>
      </c>
      <c r="F9" s="16" t="s">
        <v>66</v>
      </c>
      <c r="G9" s="16"/>
      <c r="H9" s="16"/>
      <c r="I9" s="21"/>
      <c r="J9" s="7"/>
      <c r="K9" s="2"/>
    </row>
    <row r="10" spans="1:11" x14ac:dyDescent="0.25">
      <c r="A10" s="9">
        <v>7</v>
      </c>
      <c r="B10" s="2" t="s">
        <v>68</v>
      </c>
      <c r="C10" s="1">
        <v>1818</v>
      </c>
      <c r="D10" s="1">
        <v>26</v>
      </c>
      <c r="E10" s="1">
        <v>7</v>
      </c>
      <c r="F10" s="2" t="s">
        <v>69</v>
      </c>
      <c r="G10" s="2"/>
      <c r="H10" s="2"/>
      <c r="I10" s="21"/>
      <c r="J10" s="7"/>
      <c r="K10" s="2"/>
    </row>
    <row r="11" spans="1:11" x14ac:dyDescent="0.25">
      <c r="A11" s="9">
        <v>8</v>
      </c>
      <c r="B11" s="2" t="s">
        <v>70</v>
      </c>
      <c r="C11" s="1">
        <v>5157</v>
      </c>
      <c r="D11" s="1">
        <v>37</v>
      </c>
      <c r="E11" s="1">
        <v>20</v>
      </c>
      <c r="F11" s="16" t="s">
        <v>71</v>
      </c>
      <c r="G11" s="16"/>
      <c r="H11" s="16"/>
      <c r="I11" s="21"/>
      <c r="J11" s="7"/>
      <c r="K11" s="2"/>
    </row>
    <row r="12" spans="1:11" x14ac:dyDescent="0.25">
      <c r="A12" s="9"/>
      <c r="B12" s="16"/>
      <c r="C12" s="1"/>
      <c r="D12" s="1"/>
      <c r="E12" s="1"/>
      <c r="F12" s="16"/>
      <c r="G12" s="16"/>
      <c r="H12" s="16"/>
      <c r="I12" s="21"/>
      <c r="J12" s="7"/>
      <c r="K12" s="2"/>
    </row>
    <row r="13" spans="1:11" x14ac:dyDescent="0.25">
      <c r="A13" s="9"/>
      <c r="B13" s="16"/>
      <c r="C13" s="1"/>
      <c r="D13" s="1"/>
      <c r="E13" s="1"/>
      <c r="F13" s="16"/>
      <c r="G13" s="16"/>
      <c r="H13" s="16"/>
      <c r="I13" s="21"/>
      <c r="J13" s="7"/>
      <c r="K13" s="2"/>
    </row>
  </sheetData>
  <mergeCells count="1">
    <mergeCell ref="A1:E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D18" sqref="D18"/>
    </sheetView>
  </sheetViews>
  <sheetFormatPr defaultRowHeight="14" x14ac:dyDescent="0.25"/>
  <cols>
    <col min="1" max="1" width="12.08984375" customWidth="1"/>
    <col min="2" max="2" width="28.6328125" customWidth="1"/>
    <col min="3" max="3" width="38.08984375" customWidth="1"/>
    <col min="4" max="4" width="34.26953125" customWidth="1"/>
    <col min="5" max="5" width="32.36328125" customWidth="1"/>
    <col min="6" max="6" width="16.81640625" customWidth="1"/>
    <col min="7" max="7" width="12.54296875" customWidth="1"/>
  </cols>
  <sheetData>
    <row r="1" spans="1:7" x14ac:dyDescent="0.25">
      <c r="A1" s="53" t="s">
        <v>110</v>
      </c>
      <c r="B1" s="53"/>
      <c r="C1" s="53"/>
    </row>
    <row r="2" spans="1:7" x14ac:dyDescent="0.25">
      <c r="A2" s="49"/>
      <c r="B2" s="49"/>
      <c r="C2" s="49"/>
    </row>
    <row r="3" spans="1:7" ht="42" x14ac:dyDescent="0.25">
      <c r="A3" s="5" t="s">
        <v>87</v>
      </c>
      <c r="B3" s="6" t="s">
        <v>82</v>
      </c>
      <c r="C3" s="6" t="s">
        <v>93</v>
      </c>
      <c r="D3" s="6" t="s">
        <v>106</v>
      </c>
      <c r="E3" s="5" t="s">
        <v>104</v>
      </c>
      <c r="F3" s="8" t="s">
        <v>95</v>
      </c>
      <c r="G3" s="23" t="s">
        <v>109</v>
      </c>
    </row>
    <row r="4" spans="1:7" ht="13.5" customHeight="1" x14ac:dyDescent="0.25">
      <c r="A4" s="51" t="s">
        <v>90</v>
      </c>
      <c r="B4" s="4" t="s">
        <v>29</v>
      </c>
      <c r="C4" s="4" t="s">
        <v>4</v>
      </c>
      <c r="D4" s="21"/>
      <c r="E4" s="7"/>
      <c r="F4" s="7"/>
      <c r="G4" s="7"/>
    </row>
    <row r="5" spans="1:7" x14ac:dyDescent="0.25">
      <c r="A5" s="51"/>
      <c r="B5" s="4" t="s">
        <v>30</v>
      </c>
      <c r="C5" s="4" t="s">
        <v>31</v>
      </c>
      <c r="D5" s="21"/>
      <c r="E5" s="7"/>
      <c r="F5" s="7"/>
      <c r="G5" s="7"/>
    </row>
    <row r="6" spans="1:7" x14ac:dyDescent="0.25">
      <c r="A6" s="51"/>
      <c r="B6" s="4" t="s">
        <v>32</v>
      </c>
      <c r="C6" s="4" t="s">
        <v>33</v>
      </c>
      <c r="D6" s="21"/>
      <c r="E6" s="7"/>
      <c r="F6" s="7"/>
      <c r="G6" s="7"/>
    </row>
    <row r="7" spans="1:7" ht="28" x14ac:dyDescent="0.25">
      <c r="A7" s="51"/>
      <c r="B7" s="38" t="s">
        <v>34</v>
      </c>
      <c r="C7" s="4" t="s">
        <v>50</v>
      </c>
      <c r="D7" s="21"/>
      <c r="E7" s="7"/>
      <c r="F7" s="7"/>
      <c r="G7" s="7"/>
    </row>
    <row r="8" spans="1:7" x14ac:dyDescent="0.25">
      <c r="A8" s="51"/>
      <c r="B8" s="38"/>
      <c r="C8" s="4" t="s">
        <v>35</v>
      </c>
      <c r="D8" s="21"/>
      <c r="E8" s="7"/>
      <c r="F8" s="7"/>
      <c r="G8" s="7"/>
    </row>
    <row r="9" spans="1:7" x14ac:dyDescent="0.25">
      <c r="A9" s="51"/>
      <c r="B9" s="4" t="s">
        <v>36</v>
      </c>
      <c r="C9" s="4" t="s">
        <v>37</v>
      </c>
      <c r="D9" s="21"/>
      <c r="E9" s="7"/>
      <c r="F9" s="7"/>
      <c r="G9" s="7"/>
    </row>
    <row r="10" spans="1:7" x14ac:dyDescent="0.25">
      <c r="A10" s="51"/>
      <c r="B10" s="4" t="s">
        <v>38</v>
      </c>
      <c r="C10" s="4" t="s">
        <v>39</v>
      </c>
      <c r="D10" s="21"/>
      <c r="E10" s="7"/>
      <c r="F10" s="7"/>
      <c r="G10" s="7"/>
    </row>
    <row r="11" spans="1:7" x14ac:dyDescent="0.25">
      <c r="A11" s="51"/>
      <c r="B11" s="4" t="s">
        <v>40</v>
      </c>
      <c r="C11" s="4" t="s">
        <v>41</v>
      </c>
      <c r="D11" s="21"/>
      <c r="E11" s="7"/>
      <c r="F11" s="7"/>
      <c r="G11" s="7"/>
    </row>
    <row r="12" spans="1:7" x14ac:dyDescent="0.25">
      <c r="A12" s="51"/>
      <c r="B12" s="4" t="s">
        <v>42</v>
      </c>
      <c r="C12" s="4" t="s">
        <v>39</v>
      </c>
      <c r="D12" s="21"/>
      <c r="E12" s="7"/>
      <c r="F12" s="7"/>
      <c r="G12" s="7"/>
    </row>
    <row r="13" spans="1:7" ht="28" x14ac:dyDescent="0.25">
      <c r="A13" s="51"/>
      <c r="B13" s="4" t="s">
        <v>43</v>
      </c>
      <c r="C13" s="4" t="s">
        <v>44</v>
      </c>
      <c r="D13" s="21"/>
      <c r="E13" s="7"/>
      <c r="F13" s="7"/>
      <c r="G13" s="7"/>
    </row>
    <row r="14" spans="1:7" x14ac:dyDescent="0.25">
      <c r="A14" s="51"/>
      <c r="B14" s="4" t="s">
        <v>45</v>
      </c>
      <c r="C14" s="4" t="s">
        <v>17</v>
      </c>
      <c r="D14" s="21"/>
      <c r="E14" s="7"/>
      <c r="F14" s="7"/>
      <c r="G14" s="7"/>
    </row>
    <row r="15" spans="1:7" ht="28" x14ac:dyDescent="0.25">
      <c r="A15" s="51"/>
      <c r="B15" s="4" t="s">
        <v>46</v>
      </c>
      <c r="C15" s="4" t="s">
        <v>47</v>
      </c>
      <c r="D15" s="21"/>
      <c r="E15" s="7"/>
      <c r="F15" s="7"/>
      <c r="G15" s="7"/>
    </row>
    <row r="16" spans="1:7" ht="28" x14ac:dyDescent="0.25">
      <c r="A16" s="51"/>
      <c r="B16" s="52" t="s">
        <v>92</v>
      </c>
      <c r="C16" s="4" t="s">
        <v>48</v>
      </c>
      <c r="D16" s="21"/>
      <c r="E16" s="7"/>
      <c r="F16" s="7"/>
      <c r="G16" s="7"/>
    </row>
    <row r="17" spans="1:7" x14ac:dyDescent="0.25">
      <c r="A17" s="51"/>
      <c r="B17" s="52"/>
      <c r="C17" s="4" t="s">
        <v>49</v>
      </c>
      <c r="D17" s="21"/>
      <c r="E17" s="7"/>
      <c r="F17" s="7"/>
      <c r="G17" s="7"/>
    </row>
  </sheetData>
  <mergeCells count="4">
    <mergeCell ref="A4:A17"/>
    <mergeCell ref="B7:B8"/>
    <mergeCell ref="B16:B17"/>
    <mergeCell ref="A1:C2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opLeftCell="A4" workbookViewId="0">
      <selection activeCell="G1" sqref="G1:G1048576"/>
    </sheetView>
  </sheetViews>
  <sheetFormatPr defaultRowHeight="14" x14ac:dyDescent="0.25"/>
  <cols>
    <col min="2" max="2" width="25.90625" customWidth="1"/>
    <col min="3" max="3" width="37" customWidth="1"/>
    <col min="4" max="4" width="38.54296875" customWidth="1"/>
    <col min="5" max="5" width="30.08984375" customWidth="1"/>
    <col min="6" max="6" width="19.54296875" customWidth="1"/>
    <col min="7" max="7" width="22.26953125" customWidth="1"/>
    <col min="8" max="8" width="11.453125" customWidth="1"/>
  </cols>
  <sheetData>
    <row r="1" spans="1:8" x14ac:dyDescent="0.25">
      <c r="A1" s="53" t="s">
        <v>110</v>
      </c>
      <c r="B1" s="53"/>
      <c r="C1" s="53"/>
    </row>
    <row r="2" spans="1:8" x14ac:dyDescent="0.25">
      <c r="A2" s="49"/>
      <c r="B2" s="49"/>
      <c r="C2" s="49"/>
    </row>
    <row r="3" spans="1:8" ht="42" x14ac:dyDescent="0.25">
      <c r="A3" s="5" t="s">
        <v>86</v>
      </c>
      <c r="B3" s="5" t="s">
        <v>82</v>
      </c>
      <c r="C3" s="5" t="s">
        <v>2</v>
      </c>
      <c r="D3" s="20" t="s">
        <v>103</v>
      </c>
      <c r="E3" s="5" t="s">
        <v>104</v>
      </c>
      <c r="F3" s="8" t="s">
        <v>95</v>
      </c>
      <c r="G3" s="8" t="s">
        <v>83</v>
      </c>
      <c r="H3" s="26" t="s">
        <v>109</v>
      </c>
    </row>
    <row r="4" spans="1:8" x14ac:dyDescent="0.25">
      <c r="A4" s="51" t="s">
        <v>91</v>
      </c>
      <c r="B4" s="4" t="s">
        <v>29</v>
      </c>
      <c r="C4" s="4" t="s">
        <v>4</v>
      </c>
      <c r="D4" s="21"/>
      <c r="E4" s="7"/>
      <c r="F4" s="7"/>
      <c r="G4" s="37" t="s">
        <v>85</v>
      </c>
      <c r="H4" s="7"/>
    </row>
    <row r="5" spans="1:8" x14ac:dyDescent="0.25">
      <c r="A5" s="51"/>
      <c r="B5" s="4" t="s">
        <v>30</v>
      </c>
      <c r="C5" s="4" t="s">
        <v>31</v>
      </c>
      <c r="D5" s="21"/>
      <c r="E5" s="7"/>
      <c r="F5" s="7"/>
      <c r="G5" s="37"/>
      <c r="H5" s="7"/>
    </row>
    <row r="6" spans="1:8" x14ac:dyDescent="0.25">
      <c r="A6" s="51"/>
      <c r="B6" s="4" t="s">
        <v>32</v>
      </c>
      <c r="C6" s="4" t="s">
        <v>33</v>
      </c>
      <c r="D6" s="21"/>
      <c r="E6" s="7"/>
      <c r="F6" s="7"/>
      <c r="G6" s="37"/>
      <c r="H6" s="7"/>
    </row>
    <row r="7" spans="1:8" ht="42" x14ac:dyDescent="0.25">
      <c r="A7" s="51"/>
      <c r="B7" s="38" t="s">
        <v>34</v>
      </c>
      <c r="C7" s="4" t="s">
        <v>50</v>
      </c>
      <c r="D7" s="21"/>
      <c r="E7" s="7"/>
      <c r="F7" s="7"/>
      <c r="G7" s="37"/>
      <c r="H7" s="7"/>
    </row>
    <row r="8" spans="1:8" x14ac:dyDescent="0.25">
      <c r="A8" s="51"/>
      <c r="B8" s="38"/>
      <c r="C8" s="4" t="s">
        <v>35</v>
      </c>
      <c r="D8" s="21"/>
      <c r="E8" s="7"/>
      <c r="F8" s="7"/>
      <c r="G8" s="37"/>
      <c r="H8" s="7"/>
    </row>
    <row r="9" spans="1:8" x14ac:dyDescent="0.25">
      <c r="A9" s="51"/>
      <c r="B9" s="4" t="s">
        <v>36</v>
      </c>
      <c r="C9" s="4" t="s">
        <v>37</v>
      </c>
      <c r="D9" s="21"/>
      <c r="E9" s="7"/>
      <c r="F9" s="7"/>
      <c r="G9" s="37"/>
      <c r="H9" s="7"/>
    </row>
    <row r="10" spans="1:8" x14ac:dyDescent="0.25">
      <c r="A10" s="51"/>
      <c r="B10" s="4" t="s">
        <v>38</v>
      </c>
      <c r="C10" s="4" t="s">
        <v>39</v>
      </c>
      <c r="D10" s="21"/>
      <c r="E10" s="7"/>
      <c r="F10" s="7"/>
      <c r="G10" s="37"/>
      <c r="H10" s="7"/>
    </row>
    <row r="11" spans="1:8" x14ac:dyDescent="0.25">
      <c r="A11" s="51"/>
      <c r="B11" s="4" t="s">
        <v>40</v>
      </c>
      <c r="C11" s="4" t="s">
        <v>41</v>
      </c>
      <c r="D11" s="21"/>
      <c r="E11" s="7"/>
      <c r="F11" s="7"/>
      <c r="G11" s="37"/>
      <c r="H11" s="7"/>
    </row>
    <row r="12" spans="1:8" x14ac:dyDescent="0.25">
      <c r="A12" s="51"/>
      <c r="B12" s="4" t="s">
        <v>42</v>
      </c>
      <c r="C12" s="4" t="s">
        <v>39</v>
      </c>
      <c r="D12" s="21"/>
      <c r="E12" s="7"/>
      <c r="F12" s="7"/>
      <c r="G12" s="37"/>
      <c r="H12" s="7"/>
    </row>
    <row r="13" spans="1:8" ht="28" x14ac:dyDescent="0.25">
      <c r="A13" s="51"/>
      <c r="B13" s="4" t="s">
        <v>43</v>
      </c>
      <c r="C13" s="4" t="s">
        <v>44</v>
      </c>
      <c r="D13" s="21"/>
      <c r="E13" s="7"/>
      <c r="F13" s="7"/>
      <c r="G13" s="37"/>
      <c r="H13" s="7"/>
    </row>
    <row r="14" spans="1:8" x14ac:dyDescent="0.25">
      <c r="A14" s="51"/>
      <c r="B14" s="4" t="s">
        <v>45</v>
      </c>
      <c r="C14" s="4" t="s">
        <v>17</v>
      </c>
      <c r="D14" s="21"/>
      <c r="E14" s="7"/>
      <c r="F14" s="7"/>
      <c r="G14" s="37"/>
      <c r="H14" s="7"/>
    </row>
    <row r="15" spans="1:8" ht="28" x14ac:dyDescent="0.25">
      <c r="A15" s="51"/>
      <c r="B15" s="4" t="s">
        <v>46</v>
      </c>
      <c r="C15" s="4" t="s">
        <v>47</v>
      </c>
      <c r="D15" s="21"/>
      <c r="E15" s="7"/>
      <c r="F15" s="7"/>
      <c r="G15" s="37"/>
      <c r="H15" s="7"/>
    </row>
    <row r="16" spans="1:8" ht="28" x14ac:dyDescent="0.25">
      <c r="A16" s="51"/>
      <c r="B16" s="52" t="s">
        <v>102</v>
      </c>
      <c r="C16" s="4" t="s">
        <v>48</v>
      </c>
      <c r="D16" s="21"/>
      <c r="E16" s="7"/>
      <c r="F16" s="7"/>
      <c r="G16" s="37"/>
      <c r="H16" s="7"/>
    </row>
    <row r="17" spans="1:8" x14ac:dyDescent="0.25">
      <c r="A17" s="51"/>
      <c r="B17" s="52"/>
      <c r="C17" s="4" t="s">
        <v>49</v>
      </c>
      <c r="D17" s="21"/>
      <c r="E17" s="7"/>
      <c r="F17" s="7"/>
      <c r="G17" s="37"/>
      <c r="H17" s="7"/>
    </row>
  </sheetData>
  <mergeCells count="5">
    <mergeCell ref="A4:A17"/>
    <mergeCell ref="B7:B8"/>
    <mergeCell ref="B16:B17"/>
    <mergeCell ref="G4:G17"/>
    <mergeCell ref="A1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RT51M 8K&amp;4K</vt:lpstr>
      <vt:lpstr>51M-大PQ</vt:lpstr>
      <vt:lpstr>51M小PQ</vt:lpstr>
      <vt:lpstr>H5X-大PQ</vt:lpstr>
      <vt:lpstr>H5X-小PQ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2020-09-22T13:53:01Z</dcterms:modified>
</cp:coreProperties>
</file>